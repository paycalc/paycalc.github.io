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<sst xmlns="http://schemas.openxmlformats.org/spreadsheetml/2006/main" count="533" uniqueCount="434">
  <si>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</si>
  <si>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</si>
  <si>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</si>
  <si>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</si>
  <si>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</si>
  <si>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</si>
  <si>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</si>
  <si>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</si>
  <si>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</si>
  <si>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</si>
  <si>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</si>
  <si>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</si>
  <si>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</si>
  <si>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</si>
  <si>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</si>
  <si>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</si>
  <si>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OO6 = 27.46%, everything else (Custom included) = 26.96%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</si>
  <si>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</si>
  <si>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</si>
  <si>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</si>
  <si>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</si>
  <si>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</si>
  <si>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</si>
  <si>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</si>
  <si>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</si>
  <si>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</si>
  <si>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</si>
  <si>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</si>
  <si>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</si>
  <si>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</si>
  <si>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</si>
  <si>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</si>
  <si>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</si>
  <si>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</si>
  <si>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</si>
  <si>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</si>
  <si>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</si>
  <si>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</si>
  <si>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</si>
  <si>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</si>
  <si>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</si>
  <si>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</si>
  <si>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</si>
  <si>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</si>
  <si>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</si>
  <si>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</si>
  <si>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</si>
  <si>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</si>
  <si>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</si>
  <si>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</si>
  <si>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</si>
  <si>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</si>
  <si>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</si>
  <si>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</si>
  <si>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</si>
  <si>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</si>
  <si>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</si>
  <si>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</si>
  <si>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</si>
  <si>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</si>
  <si>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</si>
  <si>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</si>
  <si>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</si>
  <si>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</si>
  <si>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</si>
  <si>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</si>
  <si>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</si>
  <si>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</si>
  <si>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</si>
  <si>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</si>
  <si>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</si>
  <si>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</si>
  <si>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</si>
  <si>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</si>
  <si>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</si>
  <si>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</si>
  <si>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</si>
  <si>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</si>
  <si>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</si>
  <si>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</si>
  <si>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</si>
  <si>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</si>
  <si>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</si>
  <si>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</si>
  <si>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</si>
  <si>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</si>
  <si>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</si>
  <si>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</si>
  <si>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</si>
  <si>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</si>
  <si>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</si>
  <si>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</si>
  <si>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</si>
  <si>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</si>
  <si>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</si>
  <si>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</si>
  <si>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</si>
  <si>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</si>
  <si>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</si>
  <si>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</si>
  <si>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</si>
  <si>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</si>
  <si>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</si>
  <si>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</si>
  <si>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</si>
  <si>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</si>
  <si>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</si>
  <si>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</si>
  <si>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</si>
  <si>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</si>
  <si>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</si>
  <si>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</si>
  <si>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</si>
  <si>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</si>
  <si>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</si>
  <si>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</si>
  <si>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</si>
  <si>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</si>
  <si>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</si>
  <si>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</si>
  <si>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</si>
  <si>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</si>
  <si>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</si>
  <si>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</si>
  <si>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</si>
  <si>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</si>
  <si>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</si>
  <si>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</si>
  <si>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</si>
  <si>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</si>
  <si>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</si>
  <si>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</si>
  <si>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</si>
  <si>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</si>
  <si>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</si>
  <si>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</si>
  <si>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</si>
  <si>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</si>
  <si>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</si>
  <si>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</si>
  <si>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</si>
  <si>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</si>
  <si>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</si>
  <si>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</si>
  <si>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</si>
  <si>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</si>
  <si>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</si>
  <si>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</si>
  <si>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</si>
  <si>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</si>
  <si>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</si>
  <si>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</si>
  <si>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</si>
  <si>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</si>
  <si>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</si>
  <si>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</si>
  <si>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</si>
  <si>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near enough to 76 hours’ worth ($378.99), so the cap only bites once leave or higher-duties hours push you past 76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</si>
  <si>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</si>
  <si>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</si>
  <si>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</si>
  <si>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It is an expense allowance, so it moves with CPI rather than with the State Wage Case (cl 13.7(b)).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</si>
  <si>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</si>
  <si>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</si>
  <si>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</si>
  <si>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</si>
  <si>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</si>
  <si>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it does not belong anywhere in this workbook — leave it out entirely.</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</si>
  <si>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</si>
  <si>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</si>
  <si>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</si>
  <si>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</si>
  <si>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</si>
  <si>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</si>
  <si>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</si>
  <si>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</si>
  <si>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</si>
  <si>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</si>
  <si>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</si>
  <si>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</si>
  <si>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</si>
  <si>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</si>
  <si>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</si>
  <si>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</si>
  <si>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</si>
  <si>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</si>
  <si>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</si>
  <si>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</si>
  <si>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</si>
  <si>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</si>
  <si>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</si>
  <si>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</si>
  <si>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</si>
  <si>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</si>
  <si>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</si>
  <si>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 no gross-up</t>
  </si>
  <si>
    <t xml:space="preserve">Sacrificed super is taxed 15% inside the fund, so a 5% sacrifice only lands 4.25%. Payroll does NOT top that up for you — a payslip we checked deducted exactly 5.00% of the fortnightly salary, not 5.88%. If you want a full 5% to land, set the member rate to 5.88% yourself (5 ÷ 0.85). Sacrificing is still ahead of paying it after tax, because it leaves your pay before income tax does.</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</si>
  <si>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</si>
  <si>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</si>
  <si>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</si>
  <si>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</si>
  <si>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</si>
  <si>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</si>
  <si>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</si>
  <si>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</si>
  <si>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</si>
  <si>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</si>
  <si>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</si>
  <si>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</si>
  <si>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</si>
  <si>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</si>
  <si>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</si>
  <si>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</si>
  <si>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</si>
  <si>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</si>
  <si>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</si>
  <si>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</si>
  <si>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</si>
  <si>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</si>
  <si>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</si>
  <si>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</si>
  <si>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</si>
  <si>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</si>
  <si>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</si>
  <si>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</si>
  <si>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</si>
  <si>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</si>
  <si>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</si>
  <si>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</si>
  <si>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</si>
  <si>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</si>
  <si>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</si>
  <si>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</si>
  <si>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</si>
  <si>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</si>
  <si>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</si>
  <si>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</si>
  <si>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</si>
  <si>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</si>
  <si>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</si>
  <si>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</si>
  <si>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</si>
  <si>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</si>
  <si>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</si>
  <si>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</si>
  <si>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</si>
  <si>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</si>
  <si>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</si>
  <si>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</si>
  <si>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</si>
  <si>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</si>
  <si>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</si>
  <si>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 NOT IN THIS WORKBOOK: the $17.35 overtime meal allowance (Award cl 13.5) was added to the website calculator on 26.07.2026 but has no cell here — add it to the "other taxable earnings" line if you need it.</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</si>
  <si>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</si>
  <si>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</si>
  <si>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</si>
  <si>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</si>
  <si>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</si>
  <si>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</si>
  <si>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</si>
  <si>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</si>
  <si>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</si>
  <si>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</si>
  <si>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</si>
  <si>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Payroll does not gross up a sacrificed contribution, so a 5% sacrifice lands 4.25% — set the rate to 5.88% yourself if you want a full 5% in.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</si>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</sst>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IF(AND(SUM($F$32:$I$32)&gt;0,OR($B$7="None",AND(OR($B$7="Custom",$B$7=""),N($D$7)=0))),TEXT(SUM($F$32:$I$32),"0.0")&amp;" hrs @ base — no HD level/rate picked",TEXT(SUM($F$32:$I$32),"0.0")&amp;"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($B$32*BaseRate+LeavePay*LvShift)*$G$50+$F$32*HDRate*IF(OR($B$7="None",AND(OR($B$7="Custom",$B$7=""),N($D$7)=0)),$G$50,IF($B$9="None",0,IF($B$9="OO3-OO5 (26.96%)",Rate_ShiftLo,IF($B$9="OO6 (27.46%)",Rate_ShiftHi,IF(LEFT($B$7,2)="L6",Rate_ShiftHi,Rate_ShiftLo)))))</f>
        <v>733.584231296</v>
      </c>
    </row>
    <row r="51" customFormat="false" ht="15" hidden="false" customHeight="false" outlineLevel="0" collapsed="false">
      <c r="A51" s="50" t="s">
        <v>17</v>
      </c>
      <c r="B51" s="50"/>
      <c r="C51" s="50"/>
      <c r="D51" s="50"/>
      <c r="E51" s="51"/>
      <c r="F51" s="51"/>
      <c r="G51" s="57" t="n">
        <f aca="false">IF($B$5="Casual",0,IF($B$10="Full rate",Rate_TSVFull,IF($B$10="Half rate",Rate_TSVHalf,0)))</f>
        <v>0</v>
      </c>
      <c r="H51" s="52" t="s">
        <v>76</v>
      </c>
      <c r="I51" s="52"/>
      <c r="J51" s="53" t="n">
        <f aca="false">MIN($B$32+$F$32+LeaveHrs+$D$32,76)*$G$51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MIN($B$32+$F$32+LeaveHrs*LvOper+$D$32,76)*$G$52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MIN($B$32+$F$32+LeaveHrs*LvRet+$D$32,76)*$G$53</f>
        <v>44.9996</v>
      </c>
    </row>
    <row r="54" customFormat="false" ht="15" hidden="false" customHeight="false" outlineLevel="0" collapsed="false">
      <c r="A54" s="48" t="s">
        <v>78</v>
      </c>
      <c r="B54" s="48"/>
      <c r="C54" s="48"/>
      <c r="D54" s="48"/>
      <c r="G54" s="58" t="n">
        <f aca="false">Rate_Laun</f>
        <v>0.080263</v>
      </c>
      <c r="H54" s="8" t="s">
        <v>76</v>
      </c>
      <c r="I54" s="8"/>
      <c r="J54" s="49" t="n">
        <f aca="false">MIN($B$32+$F$32+$D$32,76)*$G$54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the same percentage, but it leaves before income tax",TEXT($E$69,"0.00%")&amp;" of base, pre-tax — the fund's 15% tax then leaves "&amp;TEXT($E$69*(1-ContribTax),"0.00%")&amp;" in your account")</f>
        <v>Remserv can take your standard 5% pre-tax instead — the same percentage, but it leaves before income tax</v>
      </c>
      <c r="I62" s="8"/>
      <c r="J62" s="49" t="n">
        <f aca="false">IF($E$62="No — after-tax",0,$E$69*($J$43+$F$32*HDRate+$D$32*BaseRate))</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after-tax",$E$69*($J$43+$F$32*HDRate+$D$32*BaseRate),0)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EmpSuperRate*($J$43+$J$45+$J$48+$F$32*HDRate+$J$57-CustomAllow)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member % through pre-tax pay (Remserv). Payroll does not gross it up — the full typed percentage is what lands. If you were quoted a grossed-up figure like 5.88 (5 ÷ 0.85), type that instead.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IF('Pay Calculator'!$B$7="None",F5,IF(OR('Pay Calculator'!$B$7="Custom",'Pay Calculator'!$B$7=""),IF(N('Pay Calculator'!$D$7)&gt;0,N('Pay Calculator'!$D$7),F5),IFERROR(INDEX(PayScaleRates,MATCH('Pay Calculator'!$B$7,PayScaleNames,0),IF('Pay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