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y Calculator" sheetId="1" state="visible" r:id="rId3"/>
    <sheet name="Pay Guide" sheetId="2" state="visible" r:id="rId4"/>
    <sheet name="Settings &amp; Rates" sheetId="3" state="visible" r:id="rId5"/>
    <sheet name="Tax Engine" sheetId="4" state="visible" r:id="rId6"/>
  </sheets>
  <definedNames>
    <definedName function="false" hidden="false" localSheetId="0" name="_xlnm.Print_Area" vbProcedure="false">'Pay Calculator'!$A$1:$J$99</definedName>
    <definedName function="false" hidden="false" localSheetId="0" name="_xlnm.Print_Titles" vbProcedure="false">'Pay Calculator'!$1:$2</definedName>
    <definedName function="false" hidden="false" localSheetId="1" name="_xlnm.Print_Area" vbProcedure="false">'Pay Guide'!$A$1:$J$51</definedName>
    <definedName function="false" hidden="false" localSheetId="1" name="_xlnm.Print_Titles" vbProcedure="false">'Pay Guide'!$1:$2</definedName>
    <definedName function="false" hidden="false" name="BaseRate" vbProcedure="false">'Tax Engine'!$F$5</definedName>
    <definedName function="false" hidden="false" name="ConcCap" vbProcedure="false">'Settings &amp; Rates'!$B$44</definedName>
    <definedName function="false" hidden="false" name="ContribTax" vbProcedure="false">'Settings &amp; Rates'!$B$42</definedName>
    <definedName function="false" hidden="false" name="CustomAllow" vbProcedure="false">'Pay Calculator'!$F$56</definedName>
    <definedName function="false" hidden="false" name="EmpSuperRate" vbProcedure="false">'Settings &amp; Rates'!$B$41</definedName>
    <definedName function="false" hidden="false" name="FeeDefault" vbProcedure="false">'Settings &amp; Rates'!$B$46</definedName>
    <definedName function="false" hidden="false" name="FnPerYear" vbProcedure="false">'Settings &amp; Rates'!$B$47</definedName>
    <definedName function="false" hidden="false" name="HDCode" vbProcedure="false">'Settings &amp; Rates'!$B$76</definedName>
    <definedName function="false" hidden="false" name="HDRate" vbProcedure="false">'Tax Engine'!$F$6</definedName>
    <definedName function="false" hidden="false" name="Hrs_PHRDO" vbProcedure="false">'Settings &amp; Rates'!$B$48</definedName>
    <definedName function="false" hidden="false" name="LeaveHrs" vbProcedure="false">'Tax Engine'!$I$5</definedName>
    <definedName function="false" hidden="false" name="LeavePay" vbProcedure="false">'Tax Engine'!$I$6</definedName>
    <definedName function="false" hidden="false" name="LU_ADDC_S2" vbProcedure="false">'Tax Engine'!$B$298</definedName>
    <definedName function="false" hidden="false" name="LU_ADDC_S6" vbProcedure="false">'Tax Engine'!$B$305</definedName>
    <definedName function="false" hidden="false" name="LU_MLFT_S2" vbProcedure="false">'Tax Engine'!$B$296</definedName>
    <definedName function="false" hidden="false" name="LU_MLFT_S6" vbProcedure="false">'Tax Engine'!$B$303</definedName>
    <definedName function="false" hidden="false" name="LU_ML_S2" vbProcedure="false">'Tax Engine'!$B$301</definedName>
    <definedName function="false" hidden="false" name="LU_ML_S6" vbProcedure="false">'Tax Engine'!$B$308</definedName>
    <definedName function="false" hidden="false" name="LU_NonRes_NTFN" vbProcedure="false">'Tax Engine'!$B$292</definedName>
    <definedName function="false" hidden="false" name="LU_NonRes_TFN" vbProcedure="false">'Tax Engine'!$B$294</definedName>
    <definedName function="false" hidden="false" name="LU_Res_NTFN" vbProcedure="false">'Tax Engine'!$B$291</definedName>
    <definedName function="false" hidden="false" name="LU_Res_TFN" vbProcedure="false">'Tax Engine'!$B$293</definedName>
    <definedName function="false" hidden="false" name="LU_Scale1" vbProcedure="false">'Tax Engine'!$A$48:$C$54</definedName>
    <definedName function="false" hidden="false" name="LU_Scale10" vbProcedure="false">'Tax Engine'!$A$240:$C$250</definedName>
    <definedName function="false" hidden="false" name="LU_Scale10_ML_Exempt" vbProcedure="false">'Tax Engine'!$A$254:$C$262</definedName>
    <definedName function="false" hidden="false" name="LU_Scale10_ML_Half" vbProcedure="false">'Tax Engine'!$A$266:$C$276</definedName>
    <definedName function="false" hidden="false" name="LU_Scale2" vbProcedure="false">'Tax Engine'!$A$58:$C$66</definedName>
    <definedName function="false" hidden="false" name="LU_Scale3" vbProcedure="false">'Tax Engine'!$A$70:$C$72</definedName>
    <definedName function="false" hidden="false" name="LU_Scale5" vbProcedure="false">'Tax Engine'!$A$76:$C$82</definedName>
    <definedName function="false" hidden="false" name="LU_Scale6" vbProcedure="false">'Tax Engine'!$A$86:$C$94</definedName>
    <definedName function="false" hidden="false" name="LU_Scale8" vbProcedure="false">'Tax Engine'!$A$162:$C$171</definedName>
    <definedName function="false" hidden="false" name="LU_Scale8_ML_Exempt" vbProcedure="false">'Tax Engine'!$A$175:$C$183</definedName>
    <definedName function="false" hidden="false" name="LU_Scale8_ML_Half" vbProcedure="false">'Tax Engine'!$A$187:$C$196</definedName>
    <definedName function="false" hidden="false" name="LU_Scale9" vbProcedure="false">'Tax Engine'!$A$200:$C$210</definedName>
    <definedName function="false" hidden="false" name="LU_Scale9_ML_Exempt" vbProcedure="false">'Tax Engine'!$A$214:$C$222</definedName>
    <definedName function="false" hidden="false" name="LU_Scale9_ML_Half" vbProcedure="false">'Tax Engine'!$A$226:$C$236</definedName>
    <definedName function="false" hidden="false" name="LU_ScaleActors" vbProcedure="false">'Tax Engine'!$A$280:$C$288</definedName>
    <definedName function="false" hidden="false" name="LU_ScaleNTFT" vbProcedure="false">'Tax Engine'!$A$130:$C$144</definedName>
    <definedName function="false" hidden="false" name="LU_ScaleTFTR" vbProcedure="false">'Tax Engine'!$A$112:$C$126</definedName>
    <definedName function="false" hidden="false" name="LU_Scale_FS_NTFT" vbProcedure="false">'Tax Engine'!$A$155:$C$158</definedName>
    <definedName function="false" hidden="false" name="LU_Scale_FS_TFTR" vbProcedure="false">'Tax Engine'!$A$148:$C$151</definedName>
    <definedName function="false" hidden="false" name="LU_Scale_HELP_NTFT" vbProcedure="false">'Tax Engine'!$A$105:$C$108</definedName>
    <definedName function="false" hidden="false" name="LU_Scale_HELP_TFTR" vbProcedure="false">'Tax Engine'!$A$98:$C$101</definedName>
    <definedName function="false" hidden="false" name="LU_SOPD_S2" vbProcedure="false">'Tax Engine'!$B$300</definedName>
    <definedName function="false" hidden="false" name="LU_SOPD_S6" vbProcedure="false">'Tax Engine'!$B$307</definedName>
    <definedName function="false" hidden="false" name="LU_SOPM_S2" vbProcedure="false">'Tax Engine'!$B$299</definedName>
    <definedName function="false" hidden="false" name="LU_SOPM_S6" vbProcedure="false">'Tax Engine'!$B$306</definedName>
    <definedName function="false" hidden="false" name="LU_WEST_S2" vbProcedure="false">'Tax Engine'!$B$295</definedName>
    <definedName function="false" hidden="false" name="LU_WEST_S6" vbProcedure="false">'Tax Engine'!$B$302</definedName>
    <definedName function="false" hidden="false" name="LU_WFTD_S2" vbProcedure="false">'Tax Engine'!$B$297</definedName>
    <definedName function="false" hidden="false" name="LU_WFTD_S6" vbProcedure="false">'Tax Engine'!$B$304</definedName>
    <definedName function="false" hidden="false" name="LvOper" vbProcedure="false">'Tax Engine'!$I$8</definedName>
    <definedName function="false" hidden="false" name="LvRet" vbProcedure="false">'Tax Engine'!$I$9</definedName>
    <definedName function="false" hidden="false" name="LvShift" vbProcedure="false">'Tax Engine'!$I$7</definedName>
    <definedName function="false" hidden="false" name="MemberDefault" vbProcedure="false">'Settings &amp; Rates'!$B$45</definedName>
    <definedName function="false" hidden="false" name="MemberPct" vbProcedure="false">'Pay Calculator'!$E$69</definedName>
    <definedName function="false" hidden="false" name="NetBank" vbProcedure="false">'Pay Calculator'!$F$35</definedName>
    <definedName function="false" hidden="false" name="PAYG_FN" vbProcedure="false">'Tax Engine'!$F$15</definedName>
    <definedName function="false" hidden="false" name="QScaleNames" vbProcedure="false">'Settings &amp; Rates'!$A$70:$A$73</definedName>
    <definedName function="false" hidden="false" name="QScaleRates" vbProcedure="false">'Settings &amp; Rates'!$B$70:$C$73</definedName>
    <definedName function="false" hidden="false" name="PayScaleAll" vbProcedure="false">'Settings &amp; Rates'!$A$6:$D$20</definedName>
    <definedName function="false" hidden="false" name="PayScaleNames" vbProcedure="false">'Settings &amp; Rates'!$A$6:$A$20</definedName>
    <definedName function="false" hidden="false" name="PayScaleRates" vbProcedure="false">'Settings &amp; Rates'!$B$6:$C$20</definedName>
    <definedName function="false" hidden="false" name="QualTable" vbProcedure="false">'Settings &amp; Rates'!$A$35:$B$38</definedName>
    <definedName function="false" hidden="false" name="RatesValidUntil" vbProcedure="false">'Settings &amp; Rates'!$B$49</definedName>
    <definedName function="false" hidden="false" name="Rate_InCharge" vbProcedure="false">'Settings &amp; Rates'!$B$32</definedName>
    <definedName function="false" hidden="false" name="Rate_Laun" vbProcedure="false">'Settings &amp; Rates'!$B$31</definedName>
    <definedName function="false" hidden="false" name="Rate_Oper" vbProcedure="false">'Settings &amp; Rates'!$B$29</definedName>
    <definedName function="false" hidden="false" name="Rate_Ret" vbProcedure="false">'Settings &amp; Rates'!$B$30</definedName>
    <definedName function="false" hidden="false" name="Rate_ShiftHi" vbProcedure="false">'Settings &amp; Rates'!$B$26</definedName>
    <definedName function="false" hidden="false" name="Rate_ShiftLo" vbProcedure="false">'Settings &amp; Rates'!$B$25</definedName>
    <definedName function="false" hidden="false" name="Rate_TSVFull" vbProcedure="false">'Settings &amp; Rates'!$B$27</definedName>
    <definedName function="false" hidden="false" name="Rate_TSVHalf" vbProcedure="false">'Settings &amp; Rates'!$B$28</definedName>
    <definedName function="false" hidden="false" name="ScaleChoice" vbProcedure="false">'Pay Calculator'!$E$60</definedName>
    <definedName function="false" hidden="false" name="ScaleUsed" vbProcedure="false">'Tax Engine'!$F$7</definedName>
    <definedName function="false" hidden="false" name="SGRate" vbProcedure="false">'Settings &amp; Rates'!$B$43</definedName>
    <definedName function="false" hidden="false" name="STSLChoice" vbProcedure="false">'Pay Calculator'!$E$61</definedName>
    <definedName function="false" hidden="false" name="STSL_FN" vbProcedure="false">'Tax Engine'!$F$19</definedName>
  </definedNames>
  <calcPr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<sst xmlns="http://schemas.openxmlformats.org/spreadsheetml/2006/main" count="439" uniqueCount="439">
  <si>
    <t xml:space="preserve">PAY  CALCULATOR</t>
  </si>
  <si>
    <t xml:space="preserve">Fortnightly pay · tax · super — QLD OO stream   |   edit the blue-on-yellow cells, everything else is automatic</t>
  </si>
  <si>
    <t xml:space="preserve">①   PROFILE  &amp;  SETTINGS</t>
  </si>
  <si>
    <t xml:space="preserve">Employment type</t>
  </si>
  <si>
    <t xml:space="preserve">Permanent</t>
  </si>
  <si>
    <t xml:space="preserve">Permanent / Casual — sets the rate column &amp; the member-super default</t>
  </si>
  <si>
    <t xml:space="preserve">Classification</t>
  </si>
  <si>
    <t xml:space="preserve">L3-4</t>
  </si>
  <si>
    <t xml:space="preserve">← pick Custom in the menu, then type your rate in the teal box</t>
  </si>
  <si>
    <t xml:space="preserve">Higher duties</t>
  </si>
  <si>
    <t xml:space="preserve">L5-1</t>
  </si>
  <si>
    <t xml:space="preserve">← custom HD rate goes in the teal box · Auto follows your classification (L3/L4 → L5-1, L5 → L6-1) · None = not acting</t>
  </si>
  <si>
    <t xml:space="preserve">Shift allowance class</t>
  </si>
  <si>
    <t xml:space="preserve">Auto</t>
  </si>
  <si>
    <t xml:space="preserve">Auto follows your classification: OO3-OO5 = 26.96% · OO6 = 27.46%</t>
  </si>
  <si>
    <t xml:space="preserve">Shift class — higher duties</t>
  </si>
  <si>
    <t xml:space="preserve">Auto follows the HD level: OO6 = 27.46%, everything else (Custom included) = 26.96%</t>
  </si>
  <si>
    <t xml:space="preserve">TSV location allowance</t>
  </si>
  <si>
    <t xml:space="preserve">None</t>
  </si>
  <si>
    <t xml:space="preserve">Townsville-based? Pick Half (no dependants) or Full (with dependants). Everyone else leave on None. Casuals get none.</t>
  </si>
  <si>
    <t xml:space="preserve">Retention allowance</t>
  </si>
  <si>
    <t xml:space="preserve">Yes</t>
  </si>
  <si>
    <t xml:space="preserve">per ordinary hour · rate lives on the Settings &amp; Rates tab</t>
  </si>
  <si>
    <t xml:space="preserve">Qualification allowance</t>
  </si>
  <si>
    <t xml:space="preserve">Only if you hold the qual AND are at the top paypoint of your level for 12+ months (EBA cl 4.2). Cert IV $41.50 · Diploma $42.80 · Adv Diploma $44.60/fn — else leave None.</t>
  </si>
  <si>
    <t xml:space="preserve">In-charge nights</t>
  </si>
  <si>
    <t xml:space="preserve">OPS1 on night shift is entitled to the in-charge allowance · $16.39 per shift — rate on Settings &amp; Rates</t>
  </si>
  <si>
    <t xml:space="preserve">▸ Paid leave this fortnight</t>
  </si>
  <si>
    <t xml:space="preserve">No leave</t>
  </si>
  <si>
    <t xml:space="preserve">hours + type · pays base rate; which allowances keep paying depends on the leave type — the Pay Guide tab has the full breakdown</t>
  </si>
  <si>
    <t xml:space="preserve">▸ Public holidays on your RDO</t>
  </si>
  <si>
    <t xml:space="preserve">days · award cl 23.4 pays an extra day's wage (7.6 hrs at ordinary rates) for each public holiday that falls on a rostered day off — permanent only; part-timers set their own hours/day on Settings &amp; Rates</t>
  </si>
  <si>
    <t xml:space="preserve">②   TIMESHEET — enter hours</t>
  </si>
  <si>
    <t xml:space="preserve">columns F–I = higher-duties hours</t>
  </si>
  <si>
    <t xml:space="preserve">Day</t>
  </si>
  <si>
    <t xml:space="preserve">Ordinary
×1</t>
  </si>
  <si>
    <t xml:space="preserve">Overtime
×2</t>
  </si>
  <si>
    <t xml:space="preserve">Pub hol
×2.5</t>
  </si>
  <si>
    <t xml:space="preserve">Quad
×4</t>
  </si>
  <si>
    <t xml:space="preserve">HD Ord
×1</t>
  </si>
  <si>
    <t xml:space="preserve">HD OT
×2</t>
  </si>
  <si>
    <t xml:space="preserve">HD PH
×2.5</t>
  </si>
  <si>
    <t xml:space="preserve">HD Quad
×4</t>
  </si>
  <si>
    <t xml:space="preserve">Day pay</t>
  </si>
  <si>
    <t xml:space="preserve">Mon  ·  W1</t>
  </si>
  <si>
    <t xml:space="preserve">Tue  ·  W1</t>
  </si>
  <si>
    <t xml:space="preserve">Wed  ·  W1</t>
  </si>
  <si>
    <t xml:space="preserve">Thu  ·  W1</t>
  </si>
  <si>
    <t xml:space="preserve">Fri  ·  W1</t>
  </si>
  <si>
    <t xml:space="preserve">Sat  ·  W1</t>
  </si>
  <si>
    <t xml:space="preserve">Sun  ·  W1</t>
  </si>
  <si>
    <t xml:space="preserve">Mon  ·  W2</t>
  </si>
  <si>
    <t xml:space="preserve">Tue  ·  W2</t>
  </si>
  <si>
    <t xml:space="preserve">Wed  ·  W2</t>
  </si>
  <si>
    <t xml:space="preserve">Thu  ·  W2</t>
  </si>
  <si>
    <t xml:space="preserve">Fri  ·  W2</t>
  </si>
  <si>
    <t xml:space="preserve">Sat  ·  W2</t>
  </si>
  <si>
    <t xml:space="preserve">Sun  ·  W2</t>
  </si>
  <si>
    <t xml:space="preserve">Hours / totals</t>
  </si>
  <si>
    <t xml:space="preserve">Or quick-fill ordinary hrs →</t>
  </si>
  <si>
    <t xml:space="preserve">③   YOUR  PAY</t>
  </si>
  <si>
    <t xml:space="preserve">NET IN BANK — this fortnight</t>
  </si>
  <si>
    <t xml:space="preserve">GROSS — THIS FORTNIGHT</t>
  </si>
  <si>
    <t xml:space="preserve">GROSS / HOUR</t>
  </si>
  <si>
    <t xml:space="preserve">NET (BANK) / HOUR</t>
  </si>
  <si>
    <t xml:space="preserve">ANNUAL NET (EST.)</t>
  </si>
  <si>
    <t xml:space="preserve">EFFECTIVE TAX RATE</t>
  </si>
  <si>
    <t xml:space="preserve">④   EARNINGS</t>
  </si>
  <si>
    <t xml:space="preserve">Ordinary time  &amp;  paid leave</t>
  </si>
  <si>
    <t xml:space="preserve">Overtime</t>
  </si>
  <si>
    <t xml:space="preserve">Public holiday</t>
  </si>
  <si>
    <t xml:space="preserve">Quad time</t>
  </si>
  <si>
    <t xml:space="preserve">Public holiday on a rostered day off</t>
  </si>
  <si>
    <t xml:space="preserve">Base earnings</t>
  </si>
  <si>
    <t xml:space="preserve">Consolidated shift allowance</t>
  </si>
  <si>
    <t xml:space="preserve">of ordinary earnings</t>
  </si>
  <si>
    <t xml:space="preserve">per ord. hour · to 76</t>
  </si>
  <si>
    <t xml:space="preserve">Operational employee allow.</t>
  </si>
  <si>
    <t xml:space="preserve">Laundry allowance</t>
  </si>
  <si>
    <t xml:space="preserve">per fortnight</t>
  </si>
  <si>
    <t xml:space="preserve">In-charge allowance</t>
  </si>
  <si>
    <t xml:space="preserve">Other taxable earnings · e.g. secondee travel →</t>
  </si>
  <si>
    <t xml:space="preserve">+ Other taxable →</t>
  </si>
  <si>
    <t xml:space="preserve">nights × rate</t>
  </si>
  <si>
    <t xml:space="preserve">Allowances</t>
  </si>
  <si>
    <t xml:space="preserve">GROSS EARNINGS — this fortnight</t>
  </si>
  <si>
    <t xml:space="preserve">⑤   TAX  &amp;  DEDUCTIONS</t>
  </si>
  <si>
    <t xml:space="preserve">PAYG withholding scale</t>
  </si>
  <si>
    <t xml:space="preserve">Auto = scale 2 (tax-free threshold claimed) — pick a scale to override</t>
  </si>
  <si>
    <t xml:space="preserve">Study loan (HELP/STSL)?</t>
  </si>
  <si>
    <t xml:space="preserve">No</t>
  </si>
  <si>
    <t xml:space="preserve">Yes = repayment withheld from the ATO tables</t>
  </si>
  <si>
    <t xml:space="preserve">Standard member super — salary sacrifice?</t>
  </si>
  <si>
    <t xml:space="preserve">No — after-tax</t>
  </si>
  <si>
    <t xml:space="preserve">Extra salary-sacrifice super</t>
  </si>
  <si>
    <t xml:space="preserve">$ per fortnight — voluntary, on top of the 5%</t>
  </si>
  <si>
    <t xml:space="preserve">Custom pre-tax deduction</t>
  </si>
  <si>
    <t xml:space="preserve">e.g. novated lease pre-tax leg</t>
  </si>
  <si>
    <t xml:space="preserve">Salary-packaging admin fee</t>
  </si>
  <si>
    <t xml:space="preserve">e.g. RemServ — the fee varies, take it off your payslip</t>
  </si>
  <si>
    <t xml:space="preserve">TAXABLE INCOME</t>
  </si>
  <si>
    <t xml:space="preserve">PAYG withholding</t>
  </si>
  <si>
    <t xml:space="preserve">Study-loan repayment (STSL)</t>
  </si>
  <si>
    <t xml:space="preserve">Member contribution rate</t>
  </si>
  <si>
    <t>Post-tax deduction 1</t>
  </si>
  <si>
    <t xml:space="preserve">e.g. novated lease post-tax leg</t>
  </si>
  <si>
    <t xml:space="preserve">⑥   SUPERANNUATION</t>
  </si>
  <si>
    <t xml:space="preserve">Employer contribution</t>
  </si>
  <si>
    <t xml:space="preserve">Salary-sacrifice (from ⑤)</t>
  </si>
  <si>
    <t xml:space="preserve">Standard member (from ⑤)</t>
  </si>
  <si>
    <t xml:space="preserve">TOTAL SUPER — this fortnight</t>
  </si>
  <si>
    <t xml:space="preserve">Concessional contributions — annualised</t>
  </si>
  <si>
    <t xml:space="preserve">employer + salary-sacrifice only</t>
  </si>
  <si>
    <t xml:space="preserve">Concessional cap</t>
  </si>
  <si>
    <t xml:space="preserve">from Settings &amp; Rates</t>
  </si>
  <si>
    <t xml:space="preserve">Headroom remaining (p.a.)</t>
  </si>
  <si>
    <t xml:space="preserve">after-tax member super never counts toward the cap</t>
  </si>
  <si>
    <t xml:space="preserve">Max EXTRA salary-sacrifice per fortnight</t>
  </si>
  <si>
    <t xml:space="preserve">on top of what you've already entered</t>
  </si>
  <si>
    <t xml:space="preserve">⑦   WHERE  YOUR  PAY  GOES</t>
  </si>
  <si>
    <t xml:space="preserve">Component</t>
  </si>
  <si>
    <t xml:space="preserve">% of gross</t>
  </si>
  <si>
    <t xml:space="preserve">$ / fortnight</t>
  </si>
  <si>
    <t xml:space="preserve">Net in bank</t>
  </si>
  <si>
    <t xml:space="preserve">PAYG tax</t>
  </si>
  <si>
    <t xml:space="preserve">Study loan</t>
  </si>
  <si>
    <t xml:space="preserve">Super — sal-sac (pre-tax)</t>
  </si>
  <si>
    <t xml:space="preserve">Super — member (after-tax)</t>
  </si>
  <si>
    <t xml:space="preserve">Other deductions &amp; fees</t>
  </si>
  <si>
    <t xml:space="preserve">⑧   PAYSLIP  CHECK — type figures from a real payslip to reconcile</t>
  </si>
  <si>
    <t xml:space="preserve">Line</t>
  </si>
  <si>
    <t xml:space="preserve">From your payslip</t>
  </si>
  <si>
    <t xml:space="preserve">This calculator</t>
  </si>
  <si>
    <t xml:space="preserve">Difference</t>
  </si>
  <si>
    <t xml:space="preserve">Gross earnings</t>
  </si>
  <si>
    <t xml:space="preserve">Net pay (in bank)</t>
  </si>
  <si>
    <t xml:space="preserve">Employer super</t>
  </si>
  <si>
    <t xml:space="preserve">Leave the payslip column blank when you are not reconciling. A mismatch usually means a rate on Settings &amp; Rates is stale, or payroll treats an allowance differently — see block E for the clause each rate comes from.</t>
  </si>
  <si>
    <t xml:space="preserve">PayCalc V19 · pay scale award 01.09.2026 (current as of 28.10.2026) · tax tables ATO 01.07.2026 · plain-English guide on the Pay Guide tab · rates, sources &amp; incoming changes on Settings &amp; Rates</t>
  </si>
  <si>
    <t xml:space="preserve">PAY  GUIDE</t>
  </si>
  <si>
    <t xml:space="preserve">How your pay actually works — real rates, what applies when, and where each rule comes from (award = YDC Award 2016 · EBA = CB/2023/139)</t>
  </si>
  <si>
    <t xml:space="preserve">①   HOW A FORTNIGHT’S PAY COMES TOGETHER</t>
  </si>
  <si>
    <t xml:space="preserve">Base pay</t>
  </si>
  <si>
    <t xml:space="preserve">Rostered hours × your hourly rate. A full-time fortnight is 76 ordinary hours — most of the flat allowances pro-rata against that number.</t>
  </si>
  <si>
    <t xml:space="preserve">Stack on top of base for the conditions of the job. Two kinds: percentage (shift allowance, on your ordinary earnings) and flat (TSV, operational, retention, laundry — per ordinary hour, capped at the 76-hour full-fortnight value).</t>
  </si>
  <si>
    <t xml:space="preserve">Gross vs taxable</t>
  </si>
  <si>
    <t xml:space="preserve">Gross is everything before deductions. Anything salary-sacrificed comes off BEFORE tax, so taxable income can be lower than gross — that gap is where packaging saves you money.</t>
  </si>
  <si>
    <t xml:space="preserve">Tax &amp; deductions</t>
  </si>
  <si>
    <t xml:space="preserve">PAYG withholding, any study-loan slice, then after-tax items like the standard member super. What’s left is net in bank.</t>
  </si>
  <si>
    <t xml:space="preserve">Award vs EBA</t>
  </si>
  <si>
    <t xml:space="preserve">You’re paid whichever is better — the agreement can’t pay under the parent award (EBA cl 2.18(6)). Since the 2026 State Wage Case the award rates sit about 6.3% ABOVE the EBA’s final rates, so the award is currently what you’re actually paid.</t>
  </si>
  <si>
    <t xml:space="preserve">②   THE ALLOWANCES — WHAT, HOW MUCH, WHEN</t>
  </si>
  <si>
    <t xml:space="preserve">Consolidated shift allowance (CSA)</t>
  </si>
  <si>
    <t xml:space="preserve">26.96% for OO3–OO5, 27.46% for OO6, on ordinary-time earnings (EBA cl 2.9(4)). It replaces night/weekend penalties because the 12-hour roster covers all hours. NOT paid on overtime or public-holiday penalty hours (cl 2.9(6)) — those already carry their own multiplier.</t>
  </si>
  <si>
    <t xml:space="preserve">TSV locality</t>
  </si>
  <si>
    <t xml:space="preserve">Townsville rate: $43.40/fn with dependants, $21.70/fn without (Directive 16/18). Townsville-based permanent staff only — casuals get none, and staff based elsewhere (e.g. Brisbane secondees) get none: set TSV to None. Keeps being paid through paid leave.</t>
  </si>
  <si>
    <t xml:space="preserve">Operational</t>
  </si>
  <si>
    <t xml:space="preserve">$4.9867 per ordinary hour, capped at $379.00/fn — near enough to 76 hours’ worth ($378.99), so the cap only bites once leave or higher-duties hours push you past 76 (EBA cl 2.10(3)). Recognises the operational nature of the role. Paid on annual, long service and special leave, but NOT sick leave (cl 2.10(4)–(5)).</t>
  </si>
  <si>
    <t xml:space="preserve">Retention</t>
  </si>
  <si>
    <t xml:space="preserve">$45.00/fn (= $0.5921/hr × 76) once you’ve done 2 years’ continuous service (EBA cl 2.12). Doesn’t index with pay rises (cl 2.12(5)). Keeps being paid on all paid leave, sick included. Note: on paper it’s all-purpose (cl 2.12(2)(i) — ‘subject to any applicable overtime or penalty rates’); the calculator pays it flat to 76 hours, matching the payslip element "YD Retent 76", so on an overtime-heavy fortnight it’s worth checking with a delegate.</t>
  </si>
  <si>
    <t xml:space="preserve">Laundry</t>
  </si>
  <si>
    <t xml:space="preserve">$6.30/fn spread across ordinary hours (Award cl 13.6(b)). It is an expense allowance, so it moves with CPI rather than with the State Wage Case (cl 13.7(b)). Only for hours actually worked — no shifts, no washing, no allowance.</t>
  </si>
  <si>
    <t xml:space="preserve">Qualification</t>
  </si>
  <si>
    <t xml:space="preserve">Worth $41.50 (OO3) · $42.80 (OO4/OO5) · $44.60 (OO6) a fortnight (EBA cl 4.2), once you have held the top paypoint of your level for 12 months. Casuals take longer: a calendar year AND 1,200 hours at the top paypoint (cl 4.1(c)). There is no separate setting for it — payroll folds it into your rate and stores the result as one classification, so pick L3-Q, L4-Q, L5-Q or L6-Q in the Classification box. Inside the rate it is pro-rated by the hours you work, picks up the casual 25% loading and counts toward the shift allowance, which is worth a little more than being paid flat.</t>
  </si>
  <si>
    <t xml:space="preserve">In-charge</t>
  </si>
  <si>
    <t xml:space="preserve">$16.39 per shift for the shift supervisor when most of the shift falls outside 0830–1700 — in practice, OPS1 on nights (Award cl 13.2).</t>
  </si>
  <si>
    <t xml:space="preserve">Other taxable earnings</t>
  </si>
  <si>
    <t xml:space="preserve">A flexible taxable line for anything not covered above — most commonly a secondee travel/meal allowance for Brisbane staff working in TSV, but usable for any taxable one-off. You type the amount (on the calculator, on the In-charge row). It is added to gross and taxed as wages, but excluded from the super base (it is not ordinary-time earnings). If your payment is instead a genuine tax-free reimbursement, it does not belong anywhere in this workbook — leave it out entirely.</t>
  </si>
  <si>
    <t xml:space="preserve">③   PENALTIES &amp; EXTRAS</t>
  </si>
  <si>
    <t xml:space="preserve">Hours beyond the rostered shift at ×2 (Award cl 18). No CSA on top — the double rate IS the compensation.</t>
  </si>
  <si>
    <t xml:space="preserve">Public holidays worked</t>
  </si>
  <si>
    <t xml:space="preserve">×2.5 for working the day itself (Award cl 23.1), with a 4-hour minimum: for a short call-in, enter at least 4 hours in the grid even if you worked less. The calculator uses raw hours, so entering the minimum is how you capture it.</t>
  </si>
  <si>
    <t xml:space="preserve">×4 — the ceiling rate, mainly overtime worked on a public holiday.</t>
  </si>
  <si>
    <t xml:space="preserve">Acting at a higher classification pays that classification’s rate for the hours acted, penalties included — that’s what timesheet columns F–I are for. When it kicks in (cl 12.7): after one full shift for Youth Worker→Section Supervisor and Section→Shift Supervisor; after more than 3 consecutive days for other combinations. HD pays the FIRST paypoint of the higher level.</t>
  </si>
  <si>
    <t xml:space="preserve">Public holiday on your RDO</t>
  </si>
  <si>
    <t xml:space="preserve">A public holiday landing on a rostered day off pays an EXTRA day’s wage — 7.6 hrs at ordinary rates for full-timers, your usual day for part-timers (Award cl 23.4). Permanents only; you can’t also claim a substituted holiday for the same day.</t>
  </si>
  <si>
    <t xml:space="preserve">Casual loading</t>
  </si>
  <si>
    <t xml:space="preserve">25% on top of the permanent rate (Award cl 8.3(c)), paid INSTEAD of annual and sick leave, notice and redundancy. It’s part of your ordinary rate, so shift allowance and super are calculated on the loaded rate.</t>
  </si>
  <si>
    <t xml:space="preserve">Minimum engagements</t>
  </si>
  <si>
    <t xml:space="preserve">Casual and part-time engagements carry a 2-hour minimum (Award cl 8.2(c), 8.3(d)); recall to duty pays a 2-hour minimum at overtime rates (cl 18.4). Ordinary overtime has no minimum — double time for the hours you actually work (cl 18.3). The calculator takes raw hours — enter the minimum, not the shorter time worked.</t>
  </si>
  <si>
    <t xml:space="preserve">④   LEAVE — WHAT YOU KEEP, WHAT STOPS</t>
  </si>
  <si>
    <t xml:space="preserve">Annual &amp; long service</t>
  </si>
  <si>
    <t xml:space="preserve">Base rate for your rostered hours — continuous shift workers accrue five weeks’ rec leave a year (20 days plus an extra week for continuous shift workers — Dir 11/24 Sch 1 cl 2.1; 25 days outright in the Northern/Western region). KEEPS: shift allowance through both rec leave AND long service leave — paid in lieu of the award’s leave loading (EBA cl 2.9(5)), and at 26.96–27.46% it’s worth more than the loading it replaces. Also keeps operational (cl 2.10(5)), retention (cl 2.12) and TSV (Directive 16/18). DOESN’T GET: laundry or in-charge — those only exist for shifts actually worked, and no separate 17.5% loading on top. A leave fortnight lands within a few dollars of a worked one.</t>
  </si>
  <si>
    <t xml:space="preserve">Leave loading — who gets it</t>
  </si>
  <si>
    <t xml:space="preserve">You don’t get a separate leave loading, and you’re not missing out — the shift allowance keeps running through recreation and long service leave INSTEAD of one (EBA cl 2.9(5)), and at 26.96–27.46% it comes to more than a loading would. That’s what this workbook pays. A pay summary in July 2026 settled it: the element is named “Consolidated Allow 26.96% WrkRec”, with no separate loading line of any kind.</t>
  </si>
  <si>
    <t xml:space="preserve">Sick / carer’s</t>
  </si>
  <si>
    <t xml:space="preserve">Base rate. KEEPS: retention and TSV. DOESN’T GET: shift allowance (EBA cl 2.9(6)(iv)), operational (cl 2.10(4)(iii)) or laundry — the on-shift allowances stop when you’re not on shift, so a sick fortnight pays noticeably less than a worked one.</t>
  </si>
  <si>
    <t xml:space="preserve">Special (paid)</t>
  </si>
  <si>
    <t xml:space="preserve">Base rate. KEEPS: operational, retention, TSV. DOESN’T GET: shift allowance or laundry.</t>
  </si>
  <si>
    <t xml:space="preserve">Casuals &amp; leave</t>
  </si>
  <si>
    <t xml:space="preserve">Normally no paid leave — the 25% loading is the trade (Award cl 8.3(e)). Long service leave is the real exception: expressly extended to casuals (Award cl 8.3(h) and cl 22(a)) and paid at the loaded casual rate. Special leave is a different case — you are probably NOT entitled to it: the paid entitlement exists only under Special Leave Directive 12/24, whose cl 4.2 says the directive does not apply to casual employees except for unpaid Bereavement and unpaid Compassionate Leave. It is still accepted here and on the website because it does occasionally get approved and paid anyway, so a payslip showing it can be reconciled — but do not plan on it. Check your own entitlement before relying on a leave figure. Note: as at 26.07.2026 this workbook matches the website — pick Casual and the sick/carer's and annual boxes pay nothing, while long service and special leave still pay at the loaded casual rate.</t>
  </si>
  <si>
    <t xml:space="preserve">⑤   TAX &amp; SUPER</t>
  </si>
  <si>
    <t xml:space="preserve">ATO Schedule 1 coefficients (tables dated 01.07.2026), applied per fortnight. Scale 2 = tax-free threshold claimed, which is normal for your main job. It’s a per-pay estimate — the true figure settles at your return.</t>
  </si>
  <si>
    <t xml:space="preserve">Study loans (HELP/STSL)</t>
  </si>
  <si>
    <t xml:space="preserve">ATO Schedule 8 — nothing withheld until taxable pay reaches about $2,674/fn (threshold claimed), then a marginal slice on top. Heads-up: salary sacrificing lowers the fortnightly STSL withheld but NOT the annual repayment (repayment income adds sacrificed super back), so heavy sacrificing with a HELP debt can mean a tax-time catch-up.</t>
  </si>
  <si>
    <t xml:space="preserve">Salary sacrifice — no gross-up</t>
  </si>
  <si>
    <t xml:space="preserve">Sacrificed super is taxed 15% inside the fund, so a 5% sacrifice only lands 4.25%. Payroll does NOT top that up for you — a payslip we checked deducted exactly 5.00% of the fortnightly salary, not 5.88%. If you want a full 5% to land, set the member rate to 5.88% yourself (5 ÷ 0.85). Sacrificing is still ahead of paying it after tax, because it leaves your pay before income tax does.</t>
  </si>
  <si>
    <t xml:space="preserve">Employer contributions + everything salary-sacrificed count toward $32,500/yr (FY2026-27). After-tax member contributions don’t. The super section tracks your headroom automatically.</t>
  </si>
  <si>
    <t xml:space="preserve">12.75% of ordinary-time earnings — ordinary hours, shift allowance, ordinary-time allowances (laundry included), paid leave and public holidays you work; overtime excluded (Superannuation (State Public Sector) Regulation 2023). Paid whether or not you make the member contribution.</t>
  </si>
  <si>
    <t xml:space="preserve">Member 5%</t>
  </si>
  <si>
    <t xml:space="preserve">The standard employee contribution for permanents — after-tax by default, or packaged pre-tax through RemServ. Casuals default to 0%.</t>
  </si>
  <si>
    <t xml:space="preserve">⑥   GOOD TO KNOW</t>
  </si>
  <si>
    <t xml:space="preserve">Backpay &amp; manual payments</t>
  </si>
  <si>
    <t xml:space="preserve">Lump sums (backpay, missed shifts paid late, corrections) are withheld using the ATO’s lump-sum method — roughly, taxed as if you earned that much every fortnight — so the payment usually looks overtaxed on the day. The overs come back at your tax return; nothing is lost, just early.</t>
  </si>
  <si>
    <t xml:space="preserve">Withheld isn’t owed</t>
  </si>
  <si>
    <t xml:space="preserve">Payday tax is an estimate built for a steady income. Uneven fortnights (big OT, leave, backpay) push it high or low — the real number reconciles at your return.</t>
  </si>
  <si>
    <t xml:space="preserve">Check a payslip now and then</t>
  </si>
  <si>
    <t xml:space="preserve">The payslip-check section at the bottom of the calculator takes gross, tax, net and employer super from a real payslip and flags any drift beyond 50 cents.</t>
  </si>
  <si>
    <t xml:space="preserve">Where the numbers come from</t>
  </si>
  <si>
    <t xml:space="preserve">Every rate here lives on the Settings &amp; Rates tab with its instrument and clause beside it, plus a list of incoming changes (new EBA, State Wage Case, next tax cut).</t>
  </si>
  <si>
    <t xml:space="preserve">General ideas only — for the actual rates, caps and rules the calculator uses, see Settings &amp; Rates.</t>
  </si>
  <si>
    <t xml:space="preserve">SETTINGS  &amp;  RATE  LIBRARY</t>
  </si>
  <si>
    <t xml:space="preserve">Blue-on-yellow cells are the ones you edit. Everything on the calculator reads from here.   |   sheets are protected — password: paycalc  (Review → Unprotect Sheet)</t>
  </si>
  <si>
    <t xml:space="preserve">A · PAY SCALE — QLD Operational Officers, effective 01.09.2026</t>
  </si>
  <si>
    <t xml:space="preserve">Source: QIRC 01.09.2026 award reprint (matter B/2026/59-60, incl. 1 Sep 2026 General Ruling, +4.75%; on pay from 28.10.2026). All 15 rows round exactly to the reprint fortnightly $ — see block E</t>
  </si>
  <si>
    <t xml:space="preserve">Permanent $/hr</t>
  </si>
  <si>
    <t xml:space="preserve">Casual $/hr</t>
  </si>
  <si>
    <t xml:space="preserve">Salary / f'night</t>
  </si>
  <si>
    <t xml:space="preserve">L3-1</t>
  </si>
  <si>
    <t xml:space="preserve">L3-2</t>
  </si>
  <si>
    <t xml:space="preserve">L3-3</t>
  </si>
  <si>
    <t xml:space="preserve">L4-1</t>
  </si>
  <si>
    <t xml:space="preserve">L4-2</t>
  </si>
  <si>
    <t xml:space="preserve">L4-3</t>
  </si>
  <si>
    <t xml:space="preserve">L4-4</t>
  </si>
  <si>
    <t xml:space="preserve">L5-2</t>
  </si>
  <si>
    <t xml:space="preserve">L5-3</t>
  </si>
  <si>
    <t xml:space="preserve">L5-4</t>
  </si>
  <si>
    <t xml:space="preserve">L6-1</t>
  </si>
  <si>
    <t xml:space="preserve">L6-2</t>
  </si>
  <si>
    <t xml:space="preserve">L6-3</t>
  </si>
  <si>
    <t xml:space="preserve">Award rates, effective 01.09.2026 — verified against the QIRC 01.09.2026 award reprint (all 15 rows round exactly to the published fortnightly $). Hourly = fortnightly ÷ 76; casual = permanent × 1.25 (all three columns reconcile exactly). The fortnightly salary is a whole dollar: each wage case applies its rise to the old whole-dollar salary and rounds back to the nearest dollar — the 2026 case was 4.75%, e.g. L4-4 $3,098 → $3,245.155 → $3,245 → $42.69737/hr. Payroll starts paying these from 28.10.2026, so earlier payslips show the 2025 rates. The rounding was cross-checked against a real payslip at the 2025 rates (11–24 Jul 2026: L4-4 $40.76316, L5-1 $41.78947 — both exact); the 2026 rates haven’t met a payslip yet. Keep the rounding when the next wage case lands. The award floor sits about 6.3% above the 01.08.2025 EBA rates and prevails under EBA cl 2.18(6). Custom rates are typed straight on the calculator. Update when the new agreement or the 2027 State Wage Case lands — see block E.</t>
  </si>
  <si>
    <t xml:space="preserve">B · ALLOWANCE RATES</t>
  </si>
  <si>
    <t xml:space="preserve">Allowance</t>
  </si>
  <si>
    <t xml:space="preserve">Rate</t>
  </si>
  <si>
    <t xml:space="preserve">Unit / basis</t>
  </si>
  <si>
    <t xml:space="preserve">Notes</t>
  </si>
  <si>
    <t xml:space="preserve">Consolidated shift — class OO3–OO5</t>
  </si>
  <si>
    <t xml:space="preserve">% of ordinary earnings</t>
  </si>
  <si>
    <t xml:space="preserve">EBA cl 2.9(4)(i)–(ii) — 12-hour continuous shift workers, OO3/OO4/OO5. Consolidates afternoon/night loadings and weekend penalties.</t>
  </si>
  <si>
    <t xml:space="preserve">Consolidated shift — class OO6</t>
  </si>
  <si>
    <t xml:space="preserve">EBA cl 2.9(4)(iii) — OO6. Also the default for higher-duties hours at OO6.</t>
  </si>
  <si>
    <t xml:space="preserve">TSV location — full rate</t>
  </si>
  <si>
    <t xml:space="preserve">$ / ordinary hour</t>
  </si>
  <si>
    <t xml:space="preserve">Directive 16/18 (Locality Allowances) — Townsville $43.40/fn ÷ 76. Full rate needs dependants; Townsville is coastal so the EBA cl 2.8(2) +5.5% does not apply.</t>
  </si>
  <si>
    <t xml:space="preserve">TSV location — half rate</t>
  </si>
  <si>
    <t xml:space="preserve">Directive 16/18 — Townsville $21.70/fn ÷ 76. Continues during paid leave (the calculator includes leave hours). Casual employees are not eligible (handled automatically).</t>
  </si>
  <si>
    <t xml:space="preserve">Operational employee</t>
  </si>
  <si>
    <t xml:space="preserve">EBA cl 2.10(3)(ii) — rate from 01.08.2025 (prev. 4.8415), max $379.00/fn = 76 ordinary hours (the calculator caps at 76). Set the rate to 0 to switch off.</t>
  </si>
  <si>
    <t xml:space="preserve">EBA cl 2.12 — $45.00/fn ÷ 76, after 2 years' service. Applied to ordinary hours up to 76 — confirmed by a real payslip, where the element is literally named "YD Retent 76" and pays $0.59210/hr on hours worked. Casuals get it pro-rata (EBA cl 2.12(4)). Yes/No toggle lives on the calculator page.</t>
  </si>
  <si>
    <t xml:space="preserve">Award cl 13.6(b) — $6.30/fn ÷ 76, CPI-adjusted at the 01.09.2026 reprint (was $6.10). Set 0 to switch off. (Separate soiled-linen allowance cl 2.11 is out of scope — it applies to OO2 Laundry Assistant / OO3 Laundry Supervisor roles only, not operational shiftworkers.)</t>
  </si>
  <si>
    <t xml:space="preserve">$ / night</t>
  </si>
  <si>
    <t xml:space="preserve">Award cl 13.2 — shift supervisors where the majority of the shift falls outside 0830–1700. Nights are entered on the calculator page.</t>
  </si>
  <si>
    <t xml:space="preserve">C · QUALIFICATION ALLOWANCE  ($ per fortnight)</t>
  </si>
  <si>
    <t xml:space="preserve">Cert IV</t>
  </si>
  <si>
    <t xml:space="preserve">Certificate IV (AQF IV) — OO3</t>
  </si>
  <si>
    <t xml:space="preserve">Diploma</t>
  </si>
  <si>
    <t xml:space="preserve">Diploma (AQF V) — OO4/OO5</t>
  </si>
  <si>
    <t xml:space="preserve">Adv Diploma</t>
  </si>
  <si>
    <t xml:space="preserve">Advanced Diploma (AQF VI) — OO6</t>
  </si>
  <si>
    <t xml:space="preserve">D · SUPER &amp; SYSTEM</t>
  </si>
  <si>
    <t xml:space="preserve">Employer super rate</t>
  </si>
  <si>
    <t xml:space="preserve">Superannuation (State Public Sector) Regulation 2023 s 12 — 12.75% of salary, defined as earnings for ordinary hours PLUS shift loadings PLUS payments made on paid leave. Overtime is out. Laundry IS in: on a real payslip (11–24 Jul 2026) the employer contribution came to exactly 12.75% of the full gross, laundry included. The overtime meal allowance is out too — it rides on overtime, so it is not ordinary time earnings. Since 01.07.2023 you receive the full 12.75% whether or not you make the member contribution.</t>
  </si>
  <si>
    <t xml:space="preserve">Super contributions tax</t>
  </si>
  <si>
    <t xml:space="preserve">Tax the fund deducts from employer and salary-sacrificed (concessional) contributions. After-tax member contributions are NOT taxed in the fund. Payroll does not gross up a sacrificed contribution, so a 5% sacrifice lands 4.25% — set the rate to 5.88% yourself if you want a full 5% in. Study-loan heads-up: sacrificing lowers fortnightly STSL withholding but NOT the annual repayment (repayment income adds sacrificed super back), so expect a small tax-time catch-up if you sacrifice while holding a HELP debt.</t>
  </si>
  <si>
    <t xml:space="preserve">SG minimum rate</t>
  </si>
  <si>
    <t xml:space="preserve">Commonwealth Superannuation Guarantee floor (12% from 01.07.2025). Reference only — the QLD Gov 12.75% sits above it. It becomes your rate if you are 75 or older.</t>
  </si>
  <si>
    <t xml:space="preserve">Concessional contributions cap (p.a.)</t>
  </si>
  <si>
    <t xml:space="preserve">FY2026-27 cap. Employer + salary-sacrifice count toward it; after-tax member contributions do not.</t>
  </si>
  <si>
    <t xml:space="preserve">Standard member contribution — permanent</t>
  </si>
  <si>
    <t xml:space="preserve">Default after-tax member rate for permanent staff. Casuals default to 0% on the calculator.</t>
  </si>
  <si>
    <t xml:space="preserve">Salary-packaging admin fee (typical)</t>
  </si>
  <si>
    <t xml:space="preserve">Only relevant if salary packaging through a provider (e.g. RemServ).</t>
  </si>
  <si>
    <t xml:space="preserve">Fortnights per year</t>
  </si>
  <si>
    <t xml:space="preserve">Used for all annualised figures.</t>
  </si>
  <si>
    <t xml:space="preserve">Public holiday on RDO — hours per day</t>
  </si>
  <si>
    <t xml:space="preserve">Award cl 23.4(b)(i) — a full-time employee gets an additional day's wage of 7.6 hrs at ordinary rates for each public holiday falling on a rostered day off. Part-time: change this to the ordinary hours you normally work on that day of the week (cl 23.4(b)(ii)).</t>
  </si>
  <si>
    <t xml:space="preserve">Rates checked good until</t>
  </si>
  <si>
    <t xml:space="preserve">The calculator shows an amber warning above the profile block once today's date passes this. Push it forward after you check the rates against a new agreement, wage case or ATO update — see block E.</t>
  </si>
  <si>
    <t xml:space="preserve">E · SOURCES &amp; INCOMING CHANGES</t>
  </si>
  <si>
    <t xml:space="preserve">What</t>
  </si>
  <si>
    <t xml:space="preserve">Instrument / date</t>
  </si>
  <si>
    <t xml:space="preserve">Detail</t>
  </si>
  <si>
    <t xml:space="preserve">Pay scale</t>
  </si>
  <si>
    <t xml:space="preserve">Award reprint 01.09.2026</t>
  </si>
  <si>
    <t xml:space="preserve">Youth Detention Centre Employees Award – State 2016, reprinted after the 2026 State Wage Case (4.75%, matter B/2026/59-60; on pay from 28.10.2026). The award floor now sits about 6.3% above the final EBA rates, and EBA cl 2.18(6) says no one is paid below the parent award — so these are award rates.</t>
  </si>
  <si>
    <t xml:space="preserve">Shift / operational / retention / qualification</t>
  </si>
  <si>
    <t xml:space="preserve">EBA CB/2023/139</t>
  </si>
  <si>
    <t xml:space="preserve">Youth Detention Centre Certified Agreement 2023 — cl 2.9(4) shift, cl 2.10 operational, cl 2.12 retention, cl 4.2 qualification. Nominal expiry 31.07.2026 — passed; the agreement keeps operating until replaced.</t>
  </si>
  <si>
    <t xml:space="preserve">In-charge / laundry</t>
  </si>
  <si>
    <t xml:space="preserve">Award cl 13.2 / cl 13.6(b)</t>
  </si>
  <si>
    <t xml:space="preserve">Award allowances — in-charge moves with the wage case, laundry with CPI (cl 13.7) — adjusted at each reprint (currently 01.09.2026: $16.39/shift, $6.30/fn).</t>
  </si>
  <si>
    <t xml:space="preserve">Directive 16/18</t>
  </si>
  <si>
    <t xml:space="preserve">Locality Allowances directive — Townsville $43.40 full / $21.70 half per fortnight. Casuals excluded; full rate requires dependants.</t>
  </si>
  <si>
    <t xml:space="preserve">Tax tables</t>
  </si>
  <si>
    <t xml:space="preserve">ATO 01.07.2026 (audited)</t>
  </si>
  <si>
    <t xml:space="preserve">Schedule 1 (PAYG) and Schedule 8 (STSL) coefficients for FY2026-27, incl. the 16%-&gt;15% bottom-rate cut. Verified: weekly bracket thresholds 362/538/673/721/865/1282/2596/3653 map to the 2026-27 annual brackets (TFT, then 15% bottom); worked checks: PAYG $6,288/fn -&gt; $1,726 (Scale 2); STSL $4,462/fn -&gt; $268 (Schedule 8, TFT claimed). Rounding convention is ROUND(weekly a*x - b) x 2 (NOT round-after-doubling — that shifts figures ~$1; the payslip check stays the arbiter). Re-validate against the ATO worked examples whenever Schedule 1/8 is reissued (typically 1 July).</t>
  </si>
  <si>
    <t xml:space="preserve">Super</t>
  </si>
  <si>
    <t xml:space="preserve">QLD Gov / ATO 01.07.2026</t>
  </si>
  <si>
    <t xml:space="preserve">Employer 12.75% of OTE — ordinary time earnings including shift loadings, ordinary-time allowances and paid leave (Superannuation (State Public Sector) Regulation 2023; forgov). The 12.75% no longer depends on making the member contribution. The consolidated shift allowance sits in the super base only to the extent the SG requires it to (it forms part of OTE) — EBA cl 2.9(7). Member 5%, casuals 0%. Concessional cap $32,500 from 01.07.2026.</t>
  </si>
  <si>
    <t xml:space="preserve">INCOMING — not applied yet</t>
  </si>
  <si>
    <t xml:space="preserve">New certified agreement (YDC 2026)</t>
  </si>
  <si>
    <t xml:space="preserve">OFFER 16.07.2026 — agreed in principle, not certified</t>
  </si>
  <si>
    <t xml:space="preserve">Agreed in principle in late Sep 2026, after months of industrial action; as at 18.10.2026 the agreement is still being written up, then a staff vote and QIRC certification. The terms below are the July offer, not the final deal. Employer Offer dated 16.07.2026 (3-year term, expires 31.07.2029). Three increases: 1 Aug 2026 = 3.5% (3% + 0.5% CPI uplift, already triggered), 1 Aug 2027 = 2.5%, 1 Aug 2028 = 2.5%. The FIRST rise applies to the higher of Award or Agreement — i.e. the Award rate (cl 2.18(6) retained). Allowances that track wages rise by the same %. CONDITIONAL: all unions must agree in-principle by 31.08.2026 to hold the 1 Aug date, else it shifts to the first of the month agreement is reached. NOT applied yet — do not change rates until certified. When certified, the EBA rise builds a SEPARATE agreement ladder — it must NOT be added to block A. Block A is the AWARD ladder; it moves only at a State Wage Case / reprint (~1 Sep). The certification (~1 Aug) and the SWC (~1 Sep) are only 31 days apart, so bumping block A on certification would be overwritten a month later = double-bump. Correct method: 1) build an Agreement-rate column = (award rate at 31.07.2026) × the agreed % for each row; 2) operational rate + $379 cap × same %; 3) set pay = MAX(award, agreement) per row (cl 2.18(6)); 4) block A itself changes ONLY at the SWC/reprint; 5) pull the Rates-checked-until tripwire back to the first-rise date (1 Aug if unions agree by 31 Aug); 6) footer date. Do NOT index: retention (cl 2.12(5) — not subject to annual increase, stays $45.00), shift % (a % of earnings — self-indexes; only change if the certified % changes), qualification (cl 4.2 — no indexation clause, hold pending certified text), in-charge/laundry (move with the award/SWC, not the EBA). YEARS 2-3: each 1 Aug, agreement ladder × 1.025 applied to the PRECEDING AGREEMENT rate (offer wording), NOT the award. After each 1 Sep SWC the award ladder moves independently — keep BOTH ladders live and re-check the MAX winner per row. Caution: if an SWC is ever a flat dollar amount or tiered (not a flat %), the winning ladder can differ by classification — don't assume a blanket MAX. If certification lands after 1 Aug, the first rise backdates and arrives lump-sum-taxed — use the 'Other taxable earnings' row and point to the Pay Guide lump-sum explainer.</t>
  </si>
  <si>
    <t xml:space="preserve">State Wage Case 2027</t>
  </si>
  <si>
    <t xml:space="preserve">expected ~01.09.2027</t>
  </si>
  <si>
    <t xml:space="preserve">Expected from 1 Sep 2027. Award minimums and the in-charge allowance move by the wage case %; laundry moves by CPI (cl 13.7). The 2026 case (+4.75% from 01.09.2026, on pay from 28.10.2026) is already in block A.</t>
  </si>
  <si>
    <t xml:space="preserve">Tax cut — stage 2</t>
  </si>
  <si>
    <t xml:space="preserve">01.07.2027</t>
  </si>
  <si>
    <t xml:space="preserve">Bottom marginal rate drops 15% to 14%. The ATO will reissue Schedule 1; the Tax Engine tables will need replacing.</t>
  </si>
  <si>
    <t xml:space="preserve">CUA watch (years 2 &amp; 3)</t>
  </si>
  <si>
    <t xml:space="preserve">March CPI, each year</t>
  </si>
  <si>
    <t xml:space="preserve">Under the offer, if March 'All Groups Brisbane' CPI exceeds the guaranteed rise, a CPI Uplift Adjustment tops it up: to a max +0.5% in year 1 (already triggered -&gt; 3.5%), and up to +1% in years 2 and 3 (so 2.5% could become up to 3.5%). Watch the ABS March CPI release each year and adjust the applied % if a CUA is payable.</t>
  </si>
  <si>
    <t xml:space="preserve">COLA payments removed</t>
  </si>
  <si>
    <t xml:space="preserve">on certification</t>
  </si>
  <si>
    <t xml:space="preserve">The offer drops current-agreement cl 2.2 (Cost of Living Adjustment). Nothing to add — just don't carry any COLA logic into the new agreement.</t>
  </si>
  <si>
    <t xml:space="preserve">Handover overtime (new clause)</t>
  </si>
  <si>
    <t xml:space="preserve">The offer adds an explicit overtime path where a safe handover can't finish by shift end or the employer requires you to stay. No rate change — overtime already computes at x2 in the grid; this just confirms eligibility to claim it.</t>
  </si>
  <si>
    <t xml:space="preserve">TAX  ENGINE</t>
  </si>
  <si>
    <t xml:space="preserve">ATO Schedule-1 coefficient method. Live tables dated 01.07.2026 (FY2026-27). Nothing to edit here.</t>
  </si>
  <si>
    <t xml:space="preserve">WITHHOLDING — this fortnight</t>
  </si>
  <si>
    <t xml:space="preserve">Taxable income (per fortnight)</t>
  </si>
  <si>
    <t xml:space="preserve">Resolved base rate →</t>
  </si>
  <si>
    <t xml:space="preserve">Leave hours →</t>
  </si>
  <si>
    <t xml:space="preserve">Weekly equivalent  x = TRUNC(taxable ÷ 2)</t>
  </si>
  <si>
    <t xml:space="preserve">Resolved HD rate →</t>
  </si>
  <si>
    <t xml:space="preserve">Leave pay (base rate) →</t>
  </si>
  <si>
    <t xml:space="preserve">x + 0.99  (ATO rounding convention)</t>
  </si>
  <si>
    <t xml:space="preserve">Effective tax scale →</t>
  </si>
  <si>
    <t xml:space="preserve">Leave carries shift allow.? →</t>
  </si>
  <si>
    <t xml:space="preserve">Leave carries operational? →</t>
  </si>
  <si>
    <t xml:space="preserve">Scale</t>
  </si>
  <si>
    <t xml:space="preserve">a</t>
  </si>
  <si>
    <t xml:space="preserve">b</t>
  </si>
  <si>
    <t xml:space="preserve">Fortnightly tax</t>
  </si>
  <si>
    <t xml:space="preserve">Leave carries retention? →</t>
  </si>
  <si>
    <t xml:space="preserve">1 - No tax-free threshold</t>
  </si>
  <si>
    <t xml:space="preserve">2 - Tax-free threshold claimed</t>
  </si>
  <si>
    <t xml:space="preserve">3 - Foreign resident</t>
  </si>
  <si>
    <t xml:space="preserve">5 - Full Medicare levy exemption</t>
  </si>
  <si>
    <t xml:space="preserve">6 - Half Medicare levy exemption</t>
  </si>
  <si>
    <t xml:space="preserve">PAYG — selected scale</t>
  </si>
  <si>
    <t xml:space="preserve">STSL — TFT claimed / foreign resident</t>
  </si>
  <si>
    <t xml:space="preserve">STSL — no tax-free threshold</t>
  </si>
  <si>
    <t xml:space="preserve">Study loan this fortnight (0 when toggle = No)</t>
  </si>
  <si>
    <t xml:space="preserve">WHAT-IF ENGINE — reference only · +1 ordinary hr is cap-aware (flat allowances stop at 76 hrs)</t>
  </si>
  <si>
    <t xml:space="preserve">Current</t>
  </si>
  <si>
    <t xml:space="preserve">+1 ordinary hr</t>
  </si>
  <si>
    <t xml:space="preserve">+1 overtime hr</t>
  </si>
  <si>
    <t xml:space="preserve">+1 pub-hol hr</t>
  </si>
  <si>
    <t xml:space="preserve">+$100 sal-sac</t>
  </si>
  <si>
    <t xml:space="preserve">Δ gross earnings</t>
  </si>
  <si>
    <t xml:space="preserve">0</t>
  </si>
  <si>
    <t xml:space="preserve">Δ pre-tax deductions</t>
  </si>
  <si>
    <t xml:space="preserve">100</t>
  </si>
  <si>
    <t xml:space="preserve">Taxable (scenario)</t>
  </si>
  <si>
    <t xml:space="preserve">x = TRUNC(taxable ÷ 2)</t>
  </si>
  <si>
    <t xml:space="preserve">x + 0.99</t>
  </si>
  <si>
    <t xml:space="preserve">tax @ scale 1</t>
  </si>
  <si>
    <t xml:space="preserve">tax @ scale 2</t>
  </si>
  <si>
    <t xml:space="preserve">tax @ scale 3</t>
  </si>
  <si>
    <t xml:space="preserve">tax @ scale 5</t>
  </si>
  <si>
    <t xml:space="preserve">tax @ scale 6</t>
  </si>
  <si>
    <t xml:space="preserve">PAYG (selected scale)</t>
  </si>
  <si>
    <t xml:space="preserve">STSL — TFT claimed</t>
  </si>
  <si>
    <t xml:space="preserve">STSL — no TFT</t>
  </si>
  <si>
    <t xml:space="preserve">STSL (selected)</t>
  </si>
  <si>
    <t xml:space="preserve">Δ after-tax member super</t>
  </si>
  <si>
    <t xml:space="preserve">Δ NET IN BANK vs current</t>
  </si>
  <si>
    <t xml:space="preserve">REFERENCE LIBRARY — scales 1/2/3/5/6 and STSL are live ATO tables dated 01.07.2026; the rest are V16.2 reference (2024-25)</t>
  </si>
  <si>
    <t xml:space="preserve">Named ranges below cover only the sorted numeric rows, so VLOOKUP behaves identically in Excel and LibreOffice.</t>
  </si>
  <si>
    <t xml:space="preserve">Scale1</t>
  </si>
  <si>
    <t xml:space="preserve">(named range: LU_Scale1)</t>
  </si>
  <si>
    <t xml:space="preserve">$ (weekly)</t>
  </si>
  <si>
    <t xml:space="preserve">Scale2</t>
  </si>
  <si>
    <t xml:space="preserve">(named range: LU_Scale2)</t>
  </si>
  <si>
    <t xml:space="preserve">Scale3</t>
  </si>
  <si>
    <t xml:space="preserve">(named range: LU_Scale3)</t>
  </si>
  <si>
    <t xml:space="preserve">Scale5</t>
  </si>
  <si>
    <t xml:space="preserve">(named range: LU_Scale5)</t>
  </si>
  <si>
    <t xml:space="preserve">Scale6</t>
  </si>
  <si>
    <t xml:space="preserve">(named range: LU_Scale6)</t>
  </si>
  <si>
    <t xml:space="preserve">Scale HELP TFTR</t>
  </si>
  <si>
    <t xml:space="preserve">(named range: LU_Scale_HELP_TFTR)</t>
  </si>
  <si>
    <t xml:space="preserve">Scale HELP NTFT</t>
  </si>
  <si>
    <t xml:space="preserve">(named range: LU_Scale_HELP_NTFT)</t>
  </si>
  <si>
    <t xml:space="preserve">ScaleTFTR</t>
  </si>
  <si>
    <t xml:space="preserve">(named range: LU_ScaleTFTR)</t>
  </si>
  <si>
    <t xml:space="preserve">ScaleNTFT</t>
  </si>
  <si>
    <t xml:space="preserve">(named range: LU_ScaleNTFT)</t>
  </si>
  <si>
    <t xml:space="preserve">Scale FS TFTR</t>
  </si>
  <si>
    <t xml:space="preserve">(named range: LU_Scale_FS_TFTR)</t>
  </si>
  <si>
    <t xml:space="preserve">Scale FS NTFT</t>
  </si>
  <si>
    <t xml:space="preserve">(named range: LU_Scale_FS_NTFT)</t>
  </si>
  <si>
    <t xml:space="preserve">Scale8</t>
  </si>
  <si>
    <t xml:space="preserve">(named range: LU_Scale8)</t>
  </si>
  <si>
    <t xml:space="preserve">Scale8 ML Exempt</t>
  </si>
  <si>
    <t xml:space="preserve">(named range: LU_Scale8_ML_Exempt)</t>
  </si>
  <si>
    <t xml:space="preserve">Scale8 ML Half</t>
  </si>
  <si>
    <t xml:space="preserve">(named range: LU_Scale8_ML_Half)</t>
  </si>
  <si>
    <t xml:space="preserve">Scale9</t>
  </si>
  <si>
    <t xml:space="preserve">(named range: LU_Scale9)</t>
  </si>
  <si>
    <t xml:space="preserve">Scale9 ML Exempt</t>
  </si>
  <si>
    <t xml:space="preserve">(named range: LU_Scale9_ML_Exempt)</t>
  </si>
  <si>
    <t xml:space="preserve">Scale9 ML Half</t>
  </si>
  <si>
    <t xml:space="preserve">(named range: LU_Scale9_ML_Half)</t>
  </si>
  <si>
    <t xml:space="preserve">Scale10</t>
  </si>
  <si>
    <t xml:space="preserve">(named range: LU_Scale10)</t>
  </si>
  <si>
    <t xml:space="preserve">Scale10 ML Exempt</t>
  </si>
  <si>
    <t xml:space="preserve">(named range: LU_Scale10_ML_Exempt)</t>
  </si>
  <si>
    <t xml:space="preserve">Scale10 ML Half</t>
  </si>
  <si>
    <t xml:space="preserve">(named range: LU_Scale10_ML_Half)</t>
  </si>
  <si>
    <t xml:space="preserve">ScaleActors</t>
  </si>
  <si>
    <t xml:space="preserve">(named range: LU_ScaleActors)</t>
  </si>
  <si>
    <t xml:space="preserve">FLAT RATES &amp; ML ADJUSTMENT CONSTANTS</t>
  </si>
  <si>
    <t xml:space="preserve">Res_NTFN</t>
  </si>
  <si>
    <t xml:space="preserve">NonRes_NTFN</t>
  </si>
  <si>
    <t xml:space="preserve">Res_TFN</t>
  </si>
  <si>
    <t xml:space="preserve">NonRes_TFN</t>
  </si>
  <si>
    <t xml:space="preserve">WEST_S2</t>
  </si>
  <si>
    <t xml:space="preserve">MLFT_S2</t>
  </si>
  <si>
    <t xml:space="preserve">WFTD_S2</t>
  </si>
  <si>
    <t xml:space="preserve">ADDC_S2</t>
  </si>
  <si>
    <t xml:space="preserve">SOPM_S2</t>
  </si>
  <si>
    <t xml:space="preserve">SOPD_S2</t>
  </si>
  <si>
    <t xml:space="preserve">ML_S2</t>
  </si>
  <si>
    <t xml:space="preserve">WEST_S6</t>
  </si>
  <si>
    <t xml:space="preserve">MLFT_S6</t>
  </si>
  <si>
    <t xml:space="preserve">WFTD_S6</t>
  </si>
  <si>
    <t xml:space="preserve">ADDC_S6</t>
  </si>
  <si>
    <t xml:space="preserve">SOPM_S6</t>
  </si>
  <si>
    <t xml:space="preserve">SOPD_S6</t>
  </si>
  <si>
    <t xml:space="preserve">ML_S6</t>
  </si>
  <si>
    <t xml:space="preserve">Scales 8-10, Actors, FS and the constants above are carried for reference — the calculator itself uses scales 1/2/3/5/6 plus the two study-loan tables.</t>
  </si>
  <si>
    <t xml:space="preserve">Qualification</t>
  </si>
  <si>
    <t xml:space="preserve">Now part of your classification. Payroll folds the EBA cl 4.2 allowance into the rate instead of paying it as its own line, so pick L3-Q, L4-Q, L5-Q or L6-Q in the Classification box above. There is no separate setting any more.</t>
  </si>
  <si>
    <t xml:space="preserve">Qualification (inside the rate)</t>
  </si>
  <si>
    <t xml:space="preserve">F · QUALIFIED PAYPOINTS — the "Q" classifications</t>
  </si>
  <si>
    <t xml:space="preserve">Q means qualified. Payroll adds the EBA cl 4.2 qualification allowance to the top paypoint of your level and stores the result as one classification (YDZO3Q, 4Q, 5Q), so these are chosen in the Classification box rather than set separately. The allowance is only ever payable at a level’s top paypoint, so these four cover everyone entitled to it. Each rate is built live from the award salary above plus the allowance in block C — change either and these follow. Only L3-Q has been seen on a payslip; the other three are the same arithmetic on their level’s top paypoint.</t>
  </si>
</sst>
</file>

<file path=xl/styles.xml><?xml version="1.0" encoding="utf-8"?>
<styleSheet xmlns="http://schemas.openxmlformats.org/spreadsheetml/2006/main">
  <numFmts count="15">
    <numFmt numFmtId="164" formatCode="General"/>
    <numFmt numFmtId="165" formatCode="\$#,##0.0000"/>
    <numFmt numFmtId="166" formatCode="0"/>
    <numFmt numFmtId="167" formatCode="0.0#"/>
    <numFmt numFmtId="168" formatCode="\$#,##0.00;&quot;($&quot;#,##0.00\);\–"/>
    <numFmt numFmtId="169" formatCode="0.0#;;;"/>
    <numFmt numFmtId="170" formatCode="0.0&quot; hrs&quot;"/>
    <numFmt numFmtId="171" formatCode="General"/>
    <numFmt numFmtId="172" formatCode="\$#,##0;&quot;($&quot;#,##0\);\–"/>
    <numFmt numFmtId="173" formatCode="0.0%"/>
    <numFmt numFmtId="174" formatCode="0.00%"/>
    <numFmt numFmtId="175" formatCode="0.0"/>
    <numFmt numFmtId="176" formatCode="dd\ mmm\ yyyy"/>
    <numFmt numFmtId="177" formatCode="0.00"/>
    <numFmt numFmtId="178" formatCode="0.0000"/>
  </numFmts>
  <fonts count="41">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9.5"/>
      <color rgb="FFC9D4E8"/>
      <name val="Arial"/>
      <family val="0"/>
      <charset val="1"/>
    </font>
    <font>
      <b val="true"/>
      <sz val="9.5"/>
      <color rgb="FF8A4B08"/>
      <name val="Arial"/>
      <family val="0"/>
      <charset val="1"/>
    </font>
    <font>
      <b val="true"/>
      <sz val="11"/>
      <color rgb="FFFFFFFF"/>
      <name val="Arial"/>
      <family val="0"/>
      <charset val="1"/>
    </font>
    <font>
      <sz val="10"/>
      <color rgb="FF2B2B2B"/>
      <name val="Arial"/>
      <family val="0"/>
      <charset val="1"/>
    </font>
    <font>
      <b val="true"/>
      <sz val="10"/>
      <color rgb="FF0000FF"/>
      <name val="Arial"/>
      <family val="0"/>
      <charset val="1"/>
    </font>
    <font>
      <sz val="8.5"/>
      <color rgb="FF8A8F98"/>
      <name val="Arial"/>
      <family val="0"/>
      <charset val="1"/>
    </font>
    <font>
      <b val="true"/>
      <sz val="10"/>
      <color rgb="FF1F3251"/>
      <name val="Arial"/>
      <family val="0"/>
      <charset val="1"/>
    </font>
    <font>
      <b val="true"/>
      <sz val="8.5"/>
      <color rgb="FF0E8388"/>
      <name val="Arial"/>
      <family val="0"/>
      <charset val="1"/>
    </font>
    <font>
      <sz val="8.5"/>
      <color rgb="FFC9D4E8"/>
      <name val="Arial"/>
      <family val="0"/>
      <charset val="1"/>
    </font>
    <font>
      <b val="true"/>
      <sz val="8.5"/>
      <color rgb="FF1F3251"/>
      <name val="Arial"/>
      <family val="0"/>
      <charset val="1"/>
    </font>
    <font>
      <b val="true"/>
      <sz val="8.5"/>
      <color rgb="FF9AA3B5"/>
      <name val="Arial"/>
      <family val="0"/>
      <charset val="1"/>
    </font>
    <font>
      <sz val="9.5"/>
      <color rgb="FF2B2B2B"/>
      <name val="Arial"/>
      <family val="0"/>
      <charset val="1"/>
    </font>
    <font>
      <sz val="10"/>
      <color rgb="FF0000FF"/>
      <name val="Arial"/>
      <family val="0"/>
      <charset val="1"/>
    </font>
    <font>
      <b val="true"/>
      <sz val="9.5"/>
      <color rgb="FF0E8388"/>
      <name val="Arial"/>
      <family val="0"/>
      <charset val="1"/>
    </font>
    <font>
      <b val="true"/>
      <sz val="9.5"/>
      <color rgb="FF1F3251"/>
      <name val="Arial"/>
      <family val="0"/>
      <charset val="1"/>
    </font>
    <font>
      <b val="true"/>
      <sz val="11"/>
      <color rgb="FF1F3251"/>
      <name val="Arial"/>
      <family val="0"/>
      <charset val="1"/>
    </font>
    <font>
      <b val="true"/>
      <sz val="12"/>
      <color rgb="FFFFFFFF"/>
      <name val="Arial"/>
      <family val="0"/>
      <charset val="1"/>
    </font>
    <font>
      <b val="true"/>
      <sz val="20"/>
      <color rgb="FFFFFFFF"/>
      <name val="Arial"/>
      <family val="0"/>
      <charset val="1"/>
    </font>
    <font>
      <b val="true"/>
      <sz val="8"/>
      <color rgb="FF8A8F98"/>
      <name val="Arial"/>
      <family val="0"/>
      <charset val="1"/>
    </font>
    <font>
      <b val="true"/>
      <sz val="13"/>
      <color rgb="FF1F3251"/>
      <name val="Arial"/>
      <family val="0"/>
      <charset val="1"/>
    </font>
    <font>
      <b val="true"/>
      <sz val="10"/>
      <color rgb="FF2B2B2B"/>
      <name val="Arial"/>
      <family val="0"/>
      <charset val="1"/>
    </font>
    <font>
      <sz val="9"/>
      <color rgb="FF008000"/>
      <name val="Arial"/>
      <family val="0"/>
      <charset val="1"/>
    </font>
    <font>
      <sz val="8"/>
      <color rgb="FF8A8F98"/>
      <name val="Arial"/>
      <family val="0"/>
      <charset val="1"/>
    </font>
    <font>
      <b val="true"/>
      <sz val="9"/>
      <color rgb="FF1F3251"/>
      <name val="Arial"/>
      <family val="0"/>
      <charset val="1"/>
    </font>
    <font>
      <b val="true"/>
      <sz val="12"/>
      <color rgb="FF1F3251"/>
      <name val="Arial"/>
      <family val="0"/>
      <charset val="1"/>
    </font>
    <font>
      <b val="true"/>
      <sz val="10.5"/>
      <color rgb="FF2B2B2B"/>
      <name val="Arial"/>
      <family val="0"/>
      <charset val="1"/>
    </font>
    <font>
      <b val="true"/>
      <sz val="10"/>
      <color rgb="FF008000"/>
      <name val="Arial"/>
      <family val="0"/>
      <charset val="1"/>
    </font>
    <font>
      <b val="true"/>
      <sz val="9.5"/>
      <color rgb="FF2B2B2B"/>
      <name val="Arial"/>
      <family val="0"/>
      <charset val="1"/>
    </font>
    <font>
      <b val="true"/>
      <sz val="9"/>
      <color rgb="FF2B2B2B"/>
      <name val="Arial"/>
      <family val="0"/>
      <charset val="1"/>
    </font>
    <font>
      <sz val="8"/>
      <color rgb="FF9AA3B5"/>
      <name val="Arial"/>
      <family val="0"/>
      <charset val="1"/>
    </font>
    <font>
      <sz val="9.5"/>
      <color rgb="FF3A4254"/>
      <name val="Arial"/>
      <family val="0"/>
      <charset val="1"/>
    </font>
    <font>
      <sz val="8.5"/>
      <color rgb="FFE7F6F5"/>
      <name val="Arial"/>
      <family val="0"/>
      <charset val="1"/>
    </font>
    <font>
      <sz val="9"/>
      <color rgb="FF8A8F98"/>
      <name val="Arial"/>
      <family val="0"/>
      <charset val="1"/>
    </font>
    <font>
      <b val="true"/>
      <sz val="9.5"/>
      <color rgb="FFB45309"/>
      <name val="Arial"/>
      <family val="0"/>
      <charset val="1"/>
    </font>
    <font>
      <b val="true"/>
      <sz val="9.5"/>
      <color rgb="FFFFFFFF"/>
      <name val="Arial"/>
      <family val="0"/>
      <charset val="1"/>
    </font>
    <font>
      <sz val="9"/>
      <color rgb="FF2B2B2B"/>
      <name val="Arial"/>
      <family val="0"/>
      <charset val="1"/>
    </font>
  </fonts>
  <fills count="12">
    <fill>
      <patternFill patternType="none"/>
    </fill>
    <fill>
      <patternFill patternType="gray125"/>
    </fill>
    <fill>
      <patternFill patternType="solid">
        <fgColor rgb="FF141F35"/>
        <bgColor rgb="FF2B2B2B"/>
      </patternFill>
    </fill>
    <fill>
      <patternFill patternType="solid">
        <fgColor rgb="FF1F3251"/>
        <bgColor rgb="FF2B2B2B"/>
      </patternFill>
    </fill>
    <fill>
      <patternFill patternType="solid">
        <fgColor rgb="FFFFF6D9"/>
        <bgColor rgb="FFFDF0D5"/>
      </patternFill>
    </fill>
    <fill>
      <patternFill patternType="solid">
        <fgColor rgb="FFDDF0EF"/>
        <bgColor rgb="FFE6E9EF"/>
      </patternFill>
    </fill>
    <fill>
      <patternFill patternType="solid">
        <fgColor rgb="FFE6E9EF"/>
        <bgColor rgb="FFEBEEF4"/>
      </patternFill>
    </fill>
    <fill>
      <patternFill patternType="solid">
        <fgColor rgb="FF14532D"/>
        <bgColor rgb="FF3A4254"/>
      </patternFill>
    </fill>
    <fill>
      <patternFill patternType="solid">
        <fgColor rgb="FFEBEEF4"/>
        <bgColor rgb="FFE6E9EF"/>
      </patternFill>
    </fill>
    <fill>
      <patternFill patternType="solid">
        <fgColor rgb="FF0E8388"/>
        <bgColor rgb="FF008080"/>
      </patternFill>
    </fill>
    <fill>
      <patternFill patternType="solid">
        <fgColor rgb="FF465063"/>
        <bgColor rgb="FF3A4254"/>
      </patternFill>
    </fill>
    <fill>
      <patternFill patternType="solid">
        <fgColor rgb="FF7A8296"/>
        <bgColor rgb="FF8A8F98"/>
      </patternFill>
    </fill>
  </fills>
  <borders count="10">
    <border diagonalUp="false" diagonalDown="false">
      <left/>
      <right/>
      <top/>
      <bottom/>
      <diagonal/>
    </border>
    <border diagonalUp="false" diagonalDown="false">
      <left style="thin">
        <color rgb="FFC9CFDA"/>
      </left>
      <right style="thin">
        <color rgb="FFC9CFDA"/>
      </right>
      <top style="thin">
        <color rgb="FFC9CFDA"/>
      </top>
      <bottom style="thin">
        <color rgb="FFC9CFDA"/>
      </bottom>
      <diagonal/>
    </border>
    <border diagonalUp="false" diagonalDown="false">
      <left style="thick">
        <color rgb="FF1F3251"/>
      </left>
      <right style="thick">
        <color rgb="FF1F3251"/>
      </right>
      <top style="thick">
        <color rgb="FF1F3251"/>
      </top>
      <bottom style="thick">
        <color rgb="FF1F3251"/>
      </bottom>
      <diagonal/>
    </border>
    <border diagonalUp="false" diagonalDown="false">
      <left/>
      <right/>
      <top style="thin">
        <color rgb="FF0E8388"/>
      </top>
      <bottom/>
      <diagonal/>
    </border>
    <border diagonalUp="false" diagonalDown="false">
      <left style="thin">
        <color rgb="FFC9CFDA"/>
      </left>
      <right style="thin">
        <color rgb="FFC9CFDA"/>
      </right>
      <top style="thin">
        <color rgb="FF0E8388"/>
      </top>
      <bottom style="thin">
        <color rgb="FFC9CFDA"/>
      </bottom>
      <diagonal/>
    </border>
    <border diagonalUp="false" diagonalDown="false">
      <left style="thin">
        <color rgb="FFC9CFDA"/>
      </left>
      <right style="thin">
        <color rgb="FFC9CFDA"/>
      </right>
      <top style="thin">
        <color rgb="FFC9CFDA"/>
      </top>
      <bottom style="medium">
        <color rgb="FF9AA3B5"/>
      </bottom>
      <diagonal/>
    </border>
    <border diagonalUp="false" diagonalDown="false">
      <left style="thin">
        <color rgb="FFC9CFDA"/>
      </left>
      <right style="thin">
        <color rgb="FFC9CFDA"/>
      </right>
      <top style="medium">
        <color rgb="FF1F3251"/>
      </top>
      <bottom style="thin">
        <color rgb="FFC9CFDA"/>
      </bottom>
      <diagonal/>
    </border>
    <border diagonalUp="false" diagonalDown="false">
      <left/>
      <right/>
      <top style="medium">
        <color rgb="FF1F3251"/>
      </top>
      <bottom/>
      <diagonal/>
    </border>
    <border diagonalUp="false" diagonalDown="false">
      <left/>
      <right/>
      <top/>
      <bottom style="thin">
        <color rgb="FFE6E9EF"/>
      </bottom>
      <diagonal/>
    </border>
    <border diagonalUp="false" diagonalDown="false">
      <left style="medium">
        <color rgb="FF1F3251"/>
      </left>
      <right style="medium">
        <color rgb="FF1F3251"/>
      </right>
      <top style="medium">
        <color rgb="FF1F3251"/>
      </top>
      <bottom style="medium">
        <color rgb="FF1F325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0" shrinkToFit="false"/>
      <protection locked="true" hidden="false"/>
    </xf>
    <xf numFmtId="164" fontId="5" fillId="2" borderId="0" xfId="0" applyFont="true" applyBorder="true" applyAlignment="true" applyProtection="true">
      <alignment horizontal="left" vertical="center" textRotation="0" wrapText="false" indent="0" shrinkToFit="false"/>
      <protection locked="true" hidden="false"/>
    </xf>
    <xf numFmtId="164" fontId="6" fillId="0" borderId="0" xfId="0" applyFont="true" applyBorder="true" applyAlignment="true" applyProtection="true">
      <alignment horizontal="center" vertical="center" textRotation="0" wrapText="false" indent="0" shrinkToFit="false"/>
      <protection locked="true" hidden="false"/>
    </xf>
    <xf numFmtId="164" fontId="7" fillId="3" borderId="0" xfId="0" applyFont="true" applyBorder="true" applyAlignment="true" applyProtection="true">
      <alignment horizontal="left" vertical="center" textRotation="0" wrapText="false" indent="0" shrinkToFit="false"/>
      <protection locked="true" hidden="false"/>
    </xf>
    <xf numFmtId="164" fontId="8" fillId="0" borderId="0" xfId="0" applyFont="true" applyBorder="fals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false" indent="0" shrinkToFit="false"/>
      <protection locked="false" hidden="false"/>
    </xf>
    <xf numFmtId="164" fontId="10" fillId="0" borderId="0"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center" vertical="center" textRotation="0" wrapText="false" indent="0" shrinkToFit="false"/>
      <protection locked="false" hidden="false"/>
    </xf>
    <xf numFmtId="165" fontId="11" fillId="4" borderId="1" xfId="0" applyFont="true" applyBorder="true" applyAlignment="true" applyProtection="true">
      <alignment horizontal="center" vertical="center" textRotation="0" wrapText="false" indent="0" shrinkToFit="false"/>
      <protection locked="false" hidden="false"/>
    </xf>
    <xf numFmtId="165" fontId="9" fillId="5" borderId="2" xfId="0" applyFont="true" applyBorder="true" applyAlignment="true" applyProtection="true">
      <alignment horizontal="center" vertical="center" textRotation="0" wrapText="false" indent="0" shrinkToFit="false"/>
      <protection locked="false" hidden="false"/>
    </xf>
    <xf numFmtId="166" fontId="9" fillId="4" borderId="1" xfId="0" applyFont="true" applyBorder="true" applyAlignment="true" applyProtection="true">
      <alignment horizontal="left" vertical="center" textRotation="0" wrapText="false" indent="0" shrinkToFit="false"/>
      <protection locked="false" hidden="false"/>
    </xf>
    <xf numFmtId="164" fontId="8" fillId="0" borderId="3" xfId="0" applyFont="true" applyBorder="true" applyAlignment="true" applyProtection="true">
      <alignment horizontal="left" vertical="center" textRotation="0" wrapText="false" indent="0" shrinkToFit="false"/>
      <protection locked="true" hidden="false"/>
    </xf>
    <xf numFmtId="167" fontId="9" fillId="4" borderId="4" xfId="0" applyFont="true" applyBorder="true" applyAlignment="true" applyProtection="true">
      <alignment horizontal="center" vertical="center" textRotation="0" wrapText="false" indent="0" shrinkToFit="false"/>
      <protection locked="false" hidden="false"/>
    </xf>
    <xf numFmtId="164" fontId="9" fillId="4" borderId="4" xfId="0" applyFont="true" applyBorder="true" applyAlignment="true" applyProtection="true">
      <alignment horizontal="center" vertical="center" textRotation="0" wrapText="false" indent="0" shrinkToFit="false"/>
      <protection locked="false" hidden="false"/>
    </xf>
    <xf numFmtId="164" fontId="12" fillId="0" borderId="3" xfId="0" applyFont="true" applyBorder="true" applyAlignment="true" applyProtection="true">
      <alignment horizontal="left" vertical="center" textRotation="0" wrapText="false" indent="0" shrinkToFit="false"/>
      <protection locked="true" hidden="false"/>
    </xf>
    <xf numFmtId="164" fontId="10" fillId="0" borderId="3" xfId="0" applyFont="true" applyBorder="true" applyAlignment="true" applyProtection="true">
      <alignment horizontal="left" vertical="center" textRotation="0" wrapText="false" indent="0" shrinkToFit="false"/>
      <protection locked="true" hidden="false"/>
    </xf>
    <xf numFmtId="164" fontId="12" fillId="0" borderId="0" xfId="0" applyFont="true" applyBorder="false" applyAlignment="true" applyProtection="true">
      <alignment horizontal="left" vertical="center" textRotation="0" wrapText="false" indent="0" shrinkToFit="false"/>
      <protection locked="true" hidden="false"/>
    </xf>
    <xf numFmtId="164" fontId="13" fillId="3" borderId="0" xfId="0" applyFont="true" applyBorder="true" applyAlignment="true" applyProtection="true">
      <alignment horizontal="right" vertical="center" textRotation="0" wrapText="false" indent="0" shrinkToFit="false"/>
      <protection locked="true" hidden="false"/>
    </xf>
    <xf numFmtId="164" fontId="14" fillId="6" borderId="1" xfId="0" applyFont="true" applyBorder="true" applyAlignment="true" applyProtection="true">
      <alignment horizontal="center" vertical="center" textRotation="0" wrapText="true" indent="0" shrinkToFit="false"/>
      <protection locked="true" hidden="false"/>
    </xf>
    <xf numFmtId="164" fontId="15" fillId="6" borderId="1" xfId="0" applyFont="true" applyBorder="true" applyAlignment="true" applyProtection="true">
      <alignment horizontal="center" vertical="center" textRotation="0" wrapText="true" indent="0" shrinkToFit="false"/>
      <protection locked="true" hidden="false"/>
    </xf>
    <xf numFmtId="164" fontId="16" fillId="0" borderId="1" xfId="0" applyFont="true" applyBorder="true" applyAlignment="true" applyProtection="true">
      <alignment horizontal="left" vertical="center" textRotation="0" wrapText="false" indent="0" shrinkToFit="false"/>
      <protection locked="true" hidden="false"/>
    </xf>
    <xf numFmtId="167" fontId="17" fillId="4" borderId="1" xfId="0" applyFont="true" applyBorder="true" applyAlignment="true" applyProtection="true">
      <alignment horizontal="center" vertical="center" textRotation="0" wrapText="false" indent="0" shrinkToFit="false"/>
      <protection locked="false" hidden="false"/>
    </xf>
    <xf numFmtId="168" fontId="16" fillId="0" borderId="1" xfId="0" applyFont="true" applyBorder="true" applyAlignment="true" applyProtection="true">
      <alignment horizontal="right" vertical="center" textRotation="0" wrapText="false" indent="0" shrinkToFit="false"/>
      <protection locked="true" hidden="false"/>
    </xf>
    <xf numFmtId="164" fontId="18" fillId="0" borderId="1"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7" fontId="17" fillId="4" borderId="5" xfId="0" applyFont="true" applyBorder="true" applyAlignment="true" applyProtection="true">
      <alignment horizontal="center" vertical="center" textRotation="0" wrapText="false" indent="0" shrinkToFit="false"/>
      <protection locked="false" hidden="false"/>
    </xf>
    <xf numFmtId="168" fontId="16" fillId="0" borderId="5" xfId="0" applyFont="true" applyBorder="true" applyAlignment="true" applyProtection="true">
      <alignment horizontal="right" vertical="center" textRotation="0" wrapText="false" indent="0" shrinkToFit="false"/>
      <protection locked="true" hidden="false"/>
    </xf>
    <xf numFmtId="164" fontId="16" fillId="0" borderId="6" xfId="0" applyFont="true" applyBorder="true" applyAlignment="true" applyProtection="true">
      <alignment horizontal="left" vertical="center" textRotation="0" wrapText="false" indent="0" shrinkToFit="false"/>
      <protection locked="true" hidden="false"/>
    </xf>
    <xf numFmtId="167" fontId="17" fillId="4" borderId="6" xfId="0" applyFont="true" applyBorder="true" applyAlignment="true" applyProtection="true">
      <alignment horizontal="center" vertical="center" textRotation="0" wrapText="false" indent="0" shrinkToFit="false"/>
      <protection locked="false" hidden="false"/>
    </xf>
    <xf numFmtId="168" fontId="16" fillId="0" borderId="6" xfId="0" applyFont="true" applyBorder="true" applyAlignment="true" applyProtection="true">
      <alignment horizontal="right" vertical="center" textRotation="0" wrapText="false" indent="0" shrinkToFit="false"/>
      <protection locked="true" hidden="false"/>
    </xf>
    <xf numFmtId="164" fontId="19" fillId="6" borderId="6" xfId="0" applyFont="true" applyBorder="true" applyAlignment="true" applyProtection="true">
      <alignment horizontal="left" vertical="center" textRotation="0" wrapText="false" indent="0" shrinkToFit="false"/>
      <protection locked="true" hidden="false"/>
    </xf>
    <xf numFmtId="169" fontId="19" fillId="6" borderId="6" xfId="0" applyFont="true" applyBorder="true" applyAlignment="true" applyProtection="true">
      <alignment horizontal="center" vertical="center" textRotation="0" wrapText="false" indent="0" shrinkToFit="false"/>
      <protection locked="true" hidden="false"/>
    </xf>
    <xf numFmtId="168" fontId="11" fillId="6" borderId="6" xfId="0" applyFont="true" applyBorder="true" applyAlignment="true" applyProtection="true">
      <alignment horizontal="right" vertical="center" textRotation="0" wrapText="false" indent="0" shrinkToFit="false"/>
      <protection locked="true" hidden="false"/>
    </xf>
    <xf numFmtId="164" fontId="11" fillId="6" borderId="0" xfId="0" applyFont="true" applyBorder="true" applyAlignment="true" applyProtection="true">
      <alignment horizontal="left" vertical="center" textRotation="0" wrapText="false" indent="0" shrinkToFit="false"/>
      <protection locked="true" hidden="false"/>
    </xf>
    <xf numFmtId="167" fontId="9" fillId="4" borderId="1" xfId="0" applyFont="true" applyBorder="true" applyAlignment="true" applyProtection="true">
      <alignment horizontal="center" vertical="center" textRotation="0" wrapText="false" indent="0" shrinkToFit="false"/>
      <protection locked="false" hidden="false"/>
    </xf>
    <xf numFmtId="170" fontId="20" fillId="6" borderId="0" xfId="0" applyFont="true" applyBorder="true" applyAlignment="true" applyProtection="true">
      <alignment horizontal="center" vertical="center" textRotation="0" wrapText="false" indent="0" shrinkToFit="false"/>
      <protection locked="true" hidden="false"/>
    </xf>
    <xf numFmtId="171" fontId="10" fillId="6" borderId="0" xfId="0" applyFont="true" applyBorder="true" applyAlignment="true" applyProtection="true">
      <alignment horizontal="left" vertical="center"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21" fillId="7" borderId="0" xfId="0" applyFont="true" applyBorder="true" applyAlignment="true" applyProtection="true">
      <alignment horizontal="left" vertical="center" textRotation="0" wrapText="false" indent="0" shrinkToFit="false"/>
      <protection locked="true" hidden="false"/>
    </xf>
    <xf numFmtId="168" fontId="22" fillId="7" borderId="0" xfId="0" applyFont="true" applyBorder="true" applyAlignment="true" applyProtection="true">
      <alignment horizontal="right" vertical="center" textRotation="0" wrapText="false" indent="0" shrinkToFit="false"/>
      <protection locked="true" hidden="false"/>
    </xf>
    <xf numFmtId="164" fontId="23" fillId="6" borderId="0" xfId="0" applyFont="true" applyBorder="true" applyAlignment="true" applyProtection="true">
      <alignment horizontal="center" vertical="center" textRotation="0" wrapText="false" indent="0" shrinkToFit="false"/>
      <protection locked="true" hidden="false"/>
    </xf>
    <xf numFmtId="164" fontId="23" fillId="6" borderId="0" xfId="0" applyFont="true" applyBorder="false" applyAlignment="true" applyProtection="true">
      <alignment horizontal="center" vertical="center" textRotation="0" wrapText="false" indent="0" shrinkToFit="false"/>
      <protection locked="true" hidden="false"/>
    </xf>
    <xf numFmtId="168" fontId="24" fillId="6" borderId="0" xfId="0" applyFont="true" applyBorder="true" applyAlignment="true" applyProtection="true">
      <alignment horizontal="center" vertical="center" textRotation="0" wrapText="false" indent="0" shrinkToFit="false"/>
      <protection locked="true" hidden="false"/>
    </xf>
    <xf numFmtId="168" fontId="24" fillId="6" borderId="0" xfId="0" applyFont="true" applyBorder="false" applyAlignment="true" applyProtection="true">
      <alignment horizontal="center" vertical="center" textRotation="0" wrapText="false" indent="0" shrinkToFit="false"/>
      <protection locked="true" hidden="false"/>
    </xf>
    <xf numFmtId="172" fontId="24" fillId="6" borderId="0" xfId="0" applyFont="true" applyBorder="false" applyAlignment="true" applyProtection="true">
      <alignment horizontal="center" vertical="center" textRotation="0" wrapText="false" indent="0" shrinkToFit="false"/>
      <protection locked="true" hidden="false"/>
    </xf>
    <xf numFmtId="173" fontId="24" fillId="6" borderId="0" xfId="0" applyFont="true" applyBorder="fals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left" vertical="center" textRotation="0" wrapText="false" indent="0" shrinkToFit="false"/>
      <protection locked="true" hidden="false"/>
    </xf>
    <xf numFmtId="168" fontId="8" fillId="0" borderId="0" xfId="0" applyFont="true" applyBorder="false" applyAlignment="true" applyProtection="true">
      <alignment horizontal="right" vertical="center" textRotation="0" wrapText="false" indent="0" shrinkToFit="false"/>
      <protection locked="true" hidden="false"/>
    </xf>
    <xf numFmtId="164" fontId="8" fillId="8" borderId="0" xfId="0" applyFont="true" applyBorder="true" applyAlignment="true" applyProtection="true">
      <alignment horizontal="left" vertical="center" textRotation="0" wrapText="false" indent="0" shrinkToFit="false"/>
      <protection locked="true" hidden="false"/>
    </xf>
    <xf numFmtId="164" fontId="0" fillId="8" borderId="0" xfId="0" applyFont="false" applyBorder="false" applyAlignment="true" applyProtection="true">
      <alignment horizontal="general" vertical="bottom" textRotation="0" wrapText="false" indent="0" shrinkToFit="false"/>
      <protection locked="true" hidden="false"/>
    </xf>
    <xf numFmtId="164" fontId="10" fillId="8" borderId="0" xfId="0" applyFont="true" applyBorder="true" applyAlignment="true" applyProtection="true">
      <alignment horizontal="left" vertical="center" textRotation="0" wrapText="false" indent="0" shrinkToFit="false"/>
      <protection locked="true" hidden="false"/>
    </xf>
    <xf numFmtId="168" fontId="8" fillId="8" borderId="0" xfId="0" applyFont="true" applyBorder="false" applyAlignment="true" applyProtection="true">
      <alignment horizontal="right" vertical="center" textRotation="0" wrapText="false" indent="0" shrinkToFit="false"/>
      <protection locked="true" hidden="false"/>
    </xf>
    <xf numFmtId="164" fontId="25" fillId="0" borderId="0" xfId="0" applyFont="true" applyBorder="true" applyAlignment="true" applyProtection="true">
      <alignment horizontal="left" vertical="center" textRotation="0" wrapText="false" indent="0" shrinkToFit="false"/>
      <protection locked="true" hidden="false"/>
    </xf>
    <xf numFmtId="168" fontId="25" fillId="0" borderId="7" xfId="0" applyFont="true" applyBorder="true" applyAlignment="true" applyProtection="true">
      <alignment horizontal="right" vertical="center" textRotation="0" wrapText="false" indent="0" shrinkToFit="false"/>
      <protection locked="true" hidden="false"/>
    </xf>
    <xf numFmtId="174" fontId="26" fillId="0" borderId="0" xfId="0" applyFont="true" applyBorder="false" applyAlignment="true" applyProtection="true">
      <alignment horizontal="center" vertical="center" textRotation="0" wrapText="false" indent="0" shrinkToFit="false"/>
      <protection locked="true" hidden="false"/>
    </xf>
    <xf numFmtId="165" fontId="26" fillId="8" borderId="0" xfId="0" applyFont="true" applyBorder="false" applyAlignment="true" applyProtection="true">
      <alignment horizontal="center" vertical="center" textRotation="0" wrapText="false" indent="0" shrinkToFit="false"/>
      <protection locked="true" hidden="false"/>
    </xf>
    <xf numFmtId="165" fontId="26" fillId="0" borderId="0" xfId="0" applyFont="true" applyBorder="false" applyAlignment="true" applyProtection="true">
      <alignment horizontal="center" vertical="center" textRotation="0" wrapText="false" indent="0" shrinkToFit="false"/>
      <protection locked="true" hidden="false"/>
    </xf>
    <xf numFmtId="168" fontId="26" fillId="8" borderId="0" xfId="0" applyFont="true" applyBorder="false" applyAlignment="true" applyProtection="true">
      <alignment horizontal="center" vertical="center" textRotation="0" wrapText="false" indent="0" shrinkToFit="false"/>
      <protection locked="true" hidden="false"/>
    </xf>
    <xf numFmtId="164" fontId="27" fillId="0" borderId="0" xfId="0" applyFont="true" applyBorder="true" applyAlignment="true" applyProtection="true">
      <alignment horizontal="right" vertical="center" textRotation="0" wrapText="false" indent="0" shrinkToFit="false"/>
      <protection locked="true" hidden="false"/>
    </xf>
    <xf numFmtId="164" fontId="28" fillId="0" borderId="0" xfId="0" applyFont="true" applyBorder="false" applyAlignment="true" applyProtection="true">
      <alignment horizontal="right" vertical="center" textRotation="0" wrapText="false" indent="0" shrinkToFit="false"/>
      <protection locked="true" hidden="false"/>
    </xf>
    <xf numFmtId="168" fontId="9" fillId="4" borderId="1" xfId="0" applyFont="true" applyBorder="true" applyAlignment="true" applyProtection="true">
      <alignment horizontal="center" vertical="center" textRotation="0" wrapText="false" indent="0" shrinkToFit="false"/>
      <protection locked="false" hidden="false"/>
    </xf>
    <xf numFmtId="168" fontId="26" fillId="0" borderId="0" xfId="0" applyFont="true" applyBorder="false" applyAlignment="true" applyProtection="true">
      <alignment horizontal="center" vertical="center" textRotation="0" wrapText="false" indent="0" shrinkToFit="false"/>
      <protection locked="true" hidden="false"/>
    </xf>
    <xf numFmtId="164" fontId="20" fillId="5" borderId="0" xfId="0" applyFont="true" applyBorder="true" applyAlignment="true" applyProtection="true">
      <alignment horizontal="left"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8" fontId="29" fillId="5" borderId="0" xfId="0" applyFont="true" applyBorder="false" applyAlignment="true" applyProtection="true">
      <alignment horizontal="right" vertical="center" textRotation="0" wrapText="false" indent="0" shrinkToFit="false"/>
      <protection locked="true" hidden="false"/>
    </xf>
    <xf numFmtId="164" fontId="30" fillId="0" borderId="0" xfId="0" applyFont="true" applyBorder="true" applyAlignment="true" applyProtection="true">
      <alignment horizontal="left" vertical="center" textRotation="0" wrapText="false" indent="0" shrinkToFit="false"/>
      <protection locked="true" hidden="false"/>
    </xf>
    <xf numFmtId="168" fontId="30" fillId="0" borderId="7" xfId="0" applyFont="true" applyBorder="true" applyAlignment="true" applyProtection="true">
      <alignment horizontal="right" vertical="center" textRotation="0" wrapText="false" indent="0" shrinkToFit="false"/>
      <protection locked="true" hidden="false"/>
    </xf>
    <xf numFmtId="168" fontId="31" fillId="0" borderId="0" xfId="0" applyFont="true" applyBorder="false" applyAlignment="true" applyProtection="true">
      <alignment horizontal="right" vertical="center" textRotation="0" wrapText="false" indent="0" shrinkToFit="false"/>
      <protection locked="true" hidden="false"/>
    </xf>
    <xf numFmtId="168" fontId="31" fillId="8" borderId="0" xfId="0" applyFont="true" applyBorder="false" applyAlignment="true" applyProtection="true">
      <alignment horizontal="right" vertical="center" textRotation="0" wrapText="false" indent="0" shrinkToFit="false"/>
      <protection locked="true" hidden="false"/>
    </xf>
    <xf numFmtId="174" fontId="9" fillId="4" borderId="1" xfId="0" applyFont="true" applyBorder="true" applyAlignment="true" applyProtection="true">
      <alignment horizontal="center" vertical="center" textRotation="0" wrapText="false" indent="0" shrinkToFit="false"/>
      <protection locked="false" hidden="false"/>
    </xf>
    <xf numFmtId="172" fontId="25" fillId="0" borderId="0" xfId="0" applyFont="true" applyBorder="false" applyAlignment="true" applyProtection="true">
      <alignment horizontal="right" vertical="center" textRotation="0" wrapText="false" indent="0" shrinkToFit="false"/>
      <protection locked="true" hidden="false"/>
    </xf>
    <xf numFmtId="172" fontId="31" fillId="8" borderId="0" xfId="0" applyFont="true" applyBorder="false" applyAlignment="true" applyProtection="true">
      <alignment horizontal="right" vertical="center" textRotation="0" wrapText="false" indent="0" shrinkToFit="false"/>
      <protection locked="true" hidden="false"/>
    </xf>
    <xf numFmtId="168" fontId="25" fillId="8" borderId="0" xfId="0" applyFont="true" applyBorder="false" applyAlignment="true" applyProtection="true">
      <alignment horizontal="right" vertical="center" textRotation="0" wrapText="false" indent="0" shrinkToFit="false"/>
      <protection locked="true" hidden="false"/>
    </xf>
    <xf numFmtId="164" fontId="28" fillId="6" borderId="1" xfId="0" applyFont="true" applyBorder="true" applyAlignment="true" applyProtection="true">
      <alignment horizontal="left" vertical="center" textRotation="0" wrapText="false" indent="0" shrinkToFit="false"/>
      <protection locked="true" hidden="false"/>
    </xf>
    <xf numFmtId="164" fontId="28" fillId="6" borderId="1" xfId="0" applyFont="true" applyBorder="true" applyAlignment="true" applyProtection="true">
      <alignment horizontal="center" vertical="center" textRotation="0" wrapText="false" indent="0" shrinkToFit="false"/>
      <protection locked="true" hidden="false"/>
    </xf>
    <xf numFmtId="173" fontId="16" fillId="0" borderId="1" xfId="0" applyFont="true" applyBorder="true" applyAlignment="true" applyProtection="true">
      <alignment horizontal="center" vertical="center" textRotation="0" wrapText="false" indent="0" shrinkToFit="false"/>
      <protection locked="true" hidden="false"/>
    </xf>
    <xf numFmtId="164" fontId="16" fillId="8" borderId="1" xfId="0" applyFont="true" applyBorder="true" applyAlignment="true" applyProtection="true">
      <alignment horizontal="left" vertical="center" textRotation="0" wrapText="false" indent="0" shrinkToFit="false"/>
      <protection locked="true" hidden="false"/>
    </xf>
    <xf numFmtId="173" fontId="16" fillId="8" borderId="1" xfId="0" applyFont="true" applyBorder="true" applyAlignment="true" applyProtection="true">
      <alignment horizontal="center" vertical="center" textRotation="0" wrapText="false" indent="0" shrinkToFit="false"/>
      <protection locked="true" hidden="false"/>
    </xf>
    <xf numFmtId="168" fontId="16" fillId="8" borderId="1" xfId="0" applyFont="true" applyBorder="true" applyAlignment="true" applyProtection="true">
      <alignment horizontal="right" vertical="center" textRotation="0" wrapText="false" indent="0" shrinkToFit="false"/>
      <protection locked="true" hidden="false"/>
    </xf>
    <xf numFmtId="164" fontId="0" fillId="6" borderId="1" xfId="0" applyFont="false" applyBorder="true" applyAlignment="true" applyProtection="true">
      <alignment horizontal="general" vertical="bottom" textRotation="0" wrapText="false" indent="0" shrinkToFit="false"/>
      <protection locked="true" hidden="false"/>
    </xf>
    <xf numFmtId="168" fontId="32" fillId="0" borderId="1" xfId="0" applyFont="true" applyBorder="true" applyAlignment="true" applyProtection="true">
      <alignment horizontal="right" vertical="center" textRotation="0" wrapText="false" indent="0" shrinkToFit="false"/>
      <protection locked="true" hidden="false"/>
    </xf>
    <xf numFmtId="164" fontId="33" fillId="0" borderId="1" xfId="0" applyFont="true" applyBorder="true" applyAlignment="true" applyProtection="true">
      <alignment horizontal="center" vertical="center" textRotation="0" wrapText="false" indent="0" shrinkToFit="false"/>
      <protection locked="true" hidden="false"/>
    </xf>
    <xf numFmtId="168" fontId="32" fillId="8" borderId="1" xfId="0" applyFont="true" applyBorder="true" applyAlignment="true" applyProtection="true">
      <alignment horizontal="right" vertical="center" textRotation="0" wrapText="false" indent="0" shrinkToFit="false"/>
      <protection locked="true" hidden="false"/>
    </xf>
    <xf numFmtId="164" fontId="33" fillId="8" borderId="1" xfId="0" applyFont="true" applyBorder="true" applyAlignment="true" applyProtection="true">
      <alignment horizontal="center" vertical="center" textRotation="0" wrapText="false" indent="0" shrinkToFit="false"/>
      <protection locked="true" hidden="false"/>
    </xf>
    <xf numFmtId="164" fontId="27" fillId="0" borderId="0" xfId="0" applyFont="true" applyBorder="true" applyAlignment="true" applyProtection="true">
      <alignment horizontal="left" vertical="center" textRotation="0" wrapText="false" indent="0" shrinkToFit="false"/>
      <protection locked="true" hidden="false"/>
    </xf>
    <xf numFmtId="164" fontId="34" fillId="0" borderId="0" xfId="0" applyFont="true" applyBorder="true" applyAlignment="true" applyProtection="true">
      <alignment horizontal="left" vertical="center" textRotation="0" wrapText="false" indent="0" shrinkToFit="false"/>
      <protection locked="true" hidden="false"/>
    </xf>
    <xf numFmtId="164" fontId="11" fillId="0" borderId="8" xfId="0" applyFont="true" applyBorder="true" applyAlignment="true" applyProtection="true">
      <alignment horizontal="left" vertical="top" textRotation="0" wrapText="false" indent="0" shrinkToFit="false"/>
      <protection locked="true" hidden="false"/>
    </xf>
    <xf numFmtId="164" fontId="35" fillId="0" borderId="8" xfId="0" applyFont="true" applyBorder="true" applyAlignment="true" applyProtection="true">
      <alignment horizontal="left" vertical="top" textRotation="0" wrapText="true" indent="0" shrinkToFit="false"/>
      <protection locked="true" hidden="false"/>
    </xf>
    <xf numFmtId="164" fontId="7" fillId="9" borderId="0" xfId="0" applyFont="true" applyBorder="true" applyAlignment="true" applyProtection="true">
      <alignment horizontal="left" vertical="center"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36" fillId="9" borderId="0" xfId="0" applyFont="true" applyBorder="false" applyAlignment="true" applyProtection="true">
      <alignment horizontal="right" vertical="center" textRotation="0" wrapText="false" indent="0" shrinkToFit="false"/>
      <protection locked="true" hidden="false"/>
    </xf>
    <xf numFmtId="164" fontId="19" fillId="6" borderId="1" xfId="0" applyFont="true" applyBorder="true" applyAlignment="true" applyProtection="true">
      <alignment horizontal="left" vertical="center" textRotation="0" wrapText="false" indent="0" shrinkToFit="false"/>
      <protection locked="true" hidden="false"/>
    </xf>
    <xf numFmtId="164" fontId="19" fillId="6" borderId="1" xfId="0" applyFont="true" applyBorder="true" applyAlignment="true" applyProtection="true">
      <alignment horizontal="center" vertical="center" textRotation="0" wrapText="false" indent="0" shrinkToFit="false"/>
      <protection locked="true" hidden="false"/>
    </xf>
    <xf numFmtId="164" fontId="8" fillId="0" borderId="1" xfId="0" applyFont="true" applyBorder="true" applyAlignment="true" applyProtection="true">
      <alignment horizontal="left" vertical="center" textRotation="0" wrapText="false" indent="0" shrinkToFit="false"/>
      <protection locked="true" hidden="false"/>
    </xf>
    <xf numFmtId="165" fontId="9" fillId="4" borderId="1" xfId="0" applyFont="true" applyBorder="true" applyAlignment="true" applyProtection="true">
      <alignment horizontal="center" vertical="center" textRotation="0" wrapText="false" indent="0" shrinkToFit="false"/>
      <protection locked="false" hidden="false"/>
    </xf>
    <xf numFmtId="165" fontId="8" fillId="0" borderId="1" xfId="0" applyFont="true" applyBorder="true" applyAlignment="true" applyProtection="true">
      <alignment horizontal="center" vertical="center" textRotation="0" wrapText="false" indent="0" shrinkToFit="false"/>
      <protection locked="true" hidden="false"/>
    </xf>
    <xf numFmtId="168" fontId="8" fillId="0" borderId="1"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37" fillId="0" borderId="1" xfId="0" applyFont="true" applyBorder="true" applyAlignment="true" applyProtection="true">
      <alignment horizontal="left" vertical="center" textRotation="0" wrapText="false" indent="0" shrinkToFit="false"/>
      <protection locked="true" hidden="false"/>
    </xf>
    <xf numFmtId="172" fontId="9" fillId="4" borderId="1" xfId="0" applyFont="true" applyBorder="true" applyAlignment="true" applyProtection="true">
      <alignment horizontal="center" vertical="center" textRotation="0" wrapText="false" indent="0" shrinkToFit="false"/>
      <protection locked="false" hidden="false"/>
    </xf>
    <xf numFmtId="166" fontId="9" fillId="4" borderId="1" xfId="0" applyFont="true" applyBorder="true" applyAlignment="true" applyProtection="true">
      <alignment horizontal="center" vertical="center" textRotation="0" wrapText="false" indent="0" shrinkToFit="false"/>
      <protection locked="false" hidden="false"/>
    </xf>
    <xf numFmtId="175" fontId="9" fillId="4" borderId="1" xfId="0" applyFont="true" applyBorder="true" applyAlignment="true" applyProtection="true">
      <alignment horizontal="center" vertical="center" textRotation="0" wrapText="false" indent="0" shrinkToFit="false"/>
      <protection locked="false" hidden="false"/>
    </xf>
    <xf numFmtId="176" fontId="9" fillId="4" borderId="1" xfId="0" applyFont="true" applyBorder="true" applyAlignment="true" applyProtection="true">
      <alignment horizontal="center" vertical="center" textRotation="0" wrapText="false" indent="0" shrinkToFit="false"/>
      <protection locked="false" hidden="false"/>
    </xf>
    <xf numFmtId="164" fontId="19" fillId="6" borderId="0" xfId="0" applyFont="true" applyBorder="false" applyAlignment="true" applyProtection="true">
      <alignment horizontal="left" vertical="center" textRotation="0" wrapText="false" indent="0" shrinkToFit="false"/>
      <protection locked="true" hidden="false"/>
    </xf>
    <xf numFmtId="164" fontId="19" fillId="0" borderId="1" xfId="0" applyFont="true" applyBorder="true" applyAlignment="true" applyProtection="true">
      <alignment horizontal="left" vertical="center" textRotation="0" wrapText="false" indent="0" shrinkToFit="false"/>
      <protection locked="true" hidden="false"/>
    </xf>
    <xf numFmtId="164" fontId="38" fillId="0" borderId="0" xfId="0" applyFont="true" applyBorder="false" applyAlignment="true" applyProtection="true">
      <alignment horizontal="left" vertical="center" textRotation="0" wrapText="false" indent="0" shrinkToFit="false"/>
      <protection locked="true" hidden="false"/>
    </xf>
    <xf numFmtId="164" fontId="38" fillId="0" borderId="1" xfId="0" applyFont="true" applyBorder="true" applyAlignment="true" applyProtection="true">
      <alignment horizontal="left" vertical="center" textRotation="0" wrapText="false" indent="0" shrinkToFit="false"/>
      <protection locked="true" hidden="false"/>
    </xf>
    <xf numFmtId="164" fontId="7" fillId="10" borderId="0" xfId="0" applyFont="true" applyBorder="true" applyAlignment="true" applyProtection="true">
      <alignment horizontal="left" vertical="center" textRotation="0" wrapText="false" indent="0" shrinkToFit="false"/>
      <protection locked="true" hidden="false"/>
    </xf>
    <xf numFmtId="168" fontId="31" fillId="0" borderId="1"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right" vertical="center" textRotation="0" wrapText="false" indent="0" shrinkToFit="false"/>
      <protection locked="true" hidden="false"/>
    </xf>
    <xf numFmtId="165" fontId="19" fillId="0" borderId="1" xfId="0" applyFont="true" applyBorder="true" applyAlignment="true" applyProtection="true">
      <alignment horizontal="center" vertical="center" textRotation="0" wrapText="false" indent="0" shrinkToFit="false"/>
      <protection locked="true" hidden="false"/>
    </xf>
    <xf numFmtId="167" fontId="19" fillId="0" borderId="1"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left" vertical="center" textRotation="0" wrapText="false" indent="0" shrinkToFit="false"/>
      <protection locked="true" hidden="false"/>
    </xf>
    <xf numFmtId="166" fontId="8" fillId="0" borderId="1" xfId="0" applyFont="true" applyBorder="true" applyAlignment="true" applyProtection="true">
      <alignment horizontal="center" vertical="center" textRotation="0" wrapText="false" indent="0" shrinkToFit="false"/>
      <protection locked="true" hidden="false"/>
    </xf>
    <xf numFmtId="168" fontId="19" fillId="0" borderId="1" xfId="0" applyFont="true" applyBorder="true" applyAlignment="true" applyProtection="true">
      <alignment horizontal="center" vertical="center" textRotation="0" wrapText="false" indent="0" shrinkToFit="false"/>
      <protection locked="true" hidden="false"/>
    </xf>
    <xf numFmtId="177" fontId="8" fillId="0" borderId="1" xfId="0" applyFont="true" applyBorder="true" applyAlignment="true" applyProtection="true">
      <alignment horizontal="center" vertical="center" textRotation="0" wrapText="false" indent="0" shrinkToFit="false"/>
      <protection locked="true" hidden="false"/>
    </xf>
    <xf numFmtId="171" fontId="19" fillId="0" borderId="1" xfId="0" applyFont="true" applyBorder="true" applyAlignment="true" applyProtection="true">
      <alignment horizontal="center" vertical="center" textRotation="0" wrapText="false" indent="0" shrinkToFit="false"/>
      <protection locked="true" hidden="false"/>
    </xf>
    <xf numFmtId="178" fontId="16" fillId="0" borderId="1" xfId="0" applyFont="true" applyBorder="true" applyAlignment="true" applyProtection="true">
      <alignment horizontal="center" vertical="center" textRotation="0" wrapText="false" indent="0" shrinkToFit="false"/>
      <protection locked="true" hidden="false"/>
    </xf>
    <xf numFmtId="172" fontId="16" fillId="0" borderId="1"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false" applyAlignment="true" applyProtection="true">
      <alignment horizontal="left" vertical="center" textRotation="0" wrapText="false" indent="0" shrinkToFit="false"/>
      <protection locked="true" hidden="false"/>
    </xf>
    <xf numFmtId="172" fontId="20" fillId="5" borderId="9" xfId="0" applyFont="true" applyBorder="true" applyAlignment="true" applyProtection="true">
      <alignment horizontal="center" vertical="center" textRotation="0" wrapText="false" indent="0" shrinkToFit="false"/>
      <protection locked="true" hidden="false"/>
    </xf>
    <xf numFmtId="168" fontId="16" fillId="0" borderId="1" xfId="0" applyFont="true" applyBorder="true" applyAlignment="true" applyProtection="true">
      <alignment horizontal="center" vertical="center" textRotation="0" wrapText="false" indent="0" shrinkToFit="false"/>
      <protection locked="true" hidden="false"/>
    </xf>
    <xf numFmtId="166" fontId="16" fillId="0" borderId="1" xfId="0" applyFont="true" applyBorder="true" applyAlignment="true" applyProtection="true">
      <alignment horizontal="center" vertical="center" textRotation="0" wrapText="false" indent="0" shrinkToFit="false"/>
      <protection locked="true" hidden="false"/>
    </xf>
    <xf numFmtId="177" fontId="16" fillId="0" borderId="1" xfId="0" applyFont="true" applyBorder="true" applyAlignment="true" applyProtection="true">
      <alignment horizontal="center" vertical="center" textRotation="0" wrapText="false" indent="0" shrinkToFit="false"/>
      <protection locked="true" hidden="false"/>
    </xf>
    <xf numFmtId="164" fontId="10" fillId="0" borderId="1" xfId="0" applyFont="true" applyBorder="true" applyAlignment="true" applyProtection="true">
      <alignment horizontal="left" vertical="center" textRotation="0" wrapText="false" indent="0" shrinkToFit="false"/>
      <protection locked="true" hidden="false"/>
    </xf>
    <xf numFmtId="172" fontId="10" fillId="0" borderId="1" xfId="0" applyFont="true" applyBorder="true" applyAlignment="true" applyProtection="true">
      <alignment horizontal="center" vertical="center" textRotation="0" wrapText="false" indent="0" shrinkToFit="false"/>
      <protection locked="true" hidden="false"/>
    </xf>
    <xf numFmtId="164" fontId="25" fillId="0" borderId="1" xfId="0" applyFont="true" applyBorder="true" applyAlignment="true" applyProtection="true">
      <alignment horizontal="left" vertical="center" textRotation="0" wrapText="false" indent="0" shrinkToFit="false"/>
      <protection locked="true" hidden="false"/>
    </xf>
    <xf numFmtId="168" fontId="11" fillId="5" borderId="1" xfId="0" applyFont="true" applyBorder="true" applyAlignment="true" applyProtection="true">
      <alignment horizontal="center" vertical="center" textRotation="0" wrapText="false" indent="0" shrinkToFit="false"/>
      <protection locked="true" hidden="false"/>
    </xf>
    <xf numFmtId="164" fontId="39" fillId="11" borderId="0" xfId="0" applyFont="true" applyBorder="false" applyAlignment="true" applyProtection="true">
      <alignment horizontal="left" vertical="center" textRotation="0" wrapText="false" indent="0" shrinkToFit="false"/>
      <protection locked="true" hidden="false"/>
    </xf>
    <xf numFmtId="164" fontId="27" fillId="0" borderId="0" xfId="0" applyFont="true" applyBorder="false" applyAlignment="true" applyProtection="true">
      <alignment horizontal="left" vertical="center" textRotation="0" wrapText="false" indent="0" shrinkToFit="false"/>
      <protection locked="true" hidden="false"/>
    </xf>
    <xf numFmtId="164" fontId="14" fillId="6" borderId="1" xfId="0" applyFont="true" applyBorder="true" applyAlignment="true" applyProtection="true">
      <alignment horizontal="center" vertical="center" textRotation="0" wrapText="false" indent="0" shrinkToFit="false"/>
      <protection locked="true" hidden="false"/>
    </xf>
    <xf numFmtId="166" fontId="40" fillId="0" borderId="1" xfId="0" applyFont="true" applyBorder="true" applyAlignment="true" applyProtection="true">
      <alignment horizontal="center" vertical="center" textRotation="0" wrapText="false" indent="0" shrinkToFit="false"/>
      <protection locked="true" hidden="false"/>
    </xf>
    <xf numFmtId="178" fontId="40" fillId="0" borderId="1" xfId="0" applyFont="true" applyBorder="true" applyAlignment="true" applyProtection="true">
      <alignment horizontal="center" vertical="center" textRotation="0" wrapText="false" indent="0" shrinkToFit="false"/>
      <protection locked="true" hidden="false"/>
    </xf>
    <xf numFmtId="164" fontId="40" fillId="0" borderId="1" xfId="0" applyFont="true" applyBorder="true" applyAlignment="true" applyProtection="true">
      <alignment horizontal="left" vertical="center" textRotation="0" wrapText="false" indent="0" shrinkToFit="false"/>
      <protection locked="true" hidden="false"/>
    </xf>
    <xf numFmtId="164" fontId="40" fillId="0" borderId="1"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8A4B08"/>
        <sz val="9"/>
      </font>
      <fill>
        <patternFill>
          <bgColor rgb="FFFDF0D5"/>
        </patternFill>
      </fill>
    </dxf>
    <dxf>
      <font>
        <name val="Arial"/>
        <charset val="1"/>
        <family val="0"/>
        <b val="1"/>
        <color rgb="FF14532D"/>
        <sz val="9"/>
      </font>
      <fill>
        <patternFill>
          <bgColor rgb="FFD7E8DC"/>
        </patternFill>
      </fill>
    </dxf>
    <dxf>
      <font>
        <name val="Arial"/>
        <charset val="1"/>
        <family val="0"/>
        <b val="1"/>
        <color rgb="FF9C1C25"/>
        <sz val="9"/>
      </font>
      <fill>
        <patternFill>
          <bgColor rgb="FFF8D7DA"/>
        </patternFill>
      </fill>
    </dxf>
    <dxf>
      <font>
        <name val="Arial"/>
        <charset val="1"/>
        <family val="0"/>
        <b val="1"/>
        <color rgb="FFFFFFFF"/>
      </font>
      <fill>
        <patternFill>
          <bgColor rgb="FFB4231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8388"/>
      <rgbColor rgb="FFC9CFDA"/>
      <rgbColor rgb="FF7A8296"/>
      <rgbColor rgb="FF9AA3B5"/>
      <rgbColor rgb="FF9C1C25"/>
      <rgbColor rgb="FFFFF6D9"/>
      <rgbColor rgb="FFDDF0EF"/>
      <rgbColor rgb="FF660066"/>
      <rgbColor rgb="FFFF8080"/>
      <rgbColor rgb="FF0066CC"/>
      <rgbColor rgb="FFC9D4E8"/>
      <rgbColor rgb="FF000080"/>
      <rgbColor rgb="FFFF00FF"/>
      <rgbColor rgb="FFFFFF00"/>
      <rgbColor rgb="FF00FFFF"/>
      <rgbColor rgb="FF800080"/>
      <rgbColor rgb="FF800000"/>
      <rgbColor rgb="FF008080"/>
      <rgbColor rgb="FF0000FF"/>
      <rgbColor rgb="FF00CCFF"/>
      <rgbColor rgb="FFE7F6F5"/>
      <rgbColor rgb="FFD7E8DC"/>
      <rgbColor rgb="FFFDF0D5"/>
      <rgbColor rgb="FFE6E9EF"/>
      <rgbColor rgb="FFEBEEF4"/>
      <rgbColor rgb="FFCC99FF"/>
      <rgbColor rgb="FFF8D7DA"/>
      <rgbColor rgb="FF3366FF"/>
      <rgbColor rgb="FF33CCCC"/>
      <rgbColor rgb="FF99CC00"/>
      <rgbColor rgb="FFFFCC00"/>
      <rgbColor rgb="FFFF9900"/>
      <rgbColor rgb="FFB45309"/>
      <rgbColor rgb="FF465063"/>
      <rgbColor rgb="FF8A8F98"/>
      <rgbColor rgb="FF1F3251"/>
      <rgbColor rgb="FF339966"/>
      <rgbColor rgb="FF141F35"/>
      <rgbColor rgb="FF14532D"/>
      <rgbColor rgb="FF8A4B08"/>
      <rgbColor rgb="FFB42318"/>
      <rgbColor rgb="FF3A4254"/>
      <rgbColor rgb="FF2B2B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3" activePane="bottomLeft" state="frozen"/>
      <selection pane="topLeft" activeCell="A1" activeCellId="0" sqref="A1"/>
      <selection pane="bottomLeft" activeCell="B5" activeCellId="0" sqref="B5"/>
    </sheetView>
  </sheetViews>
  <sheetFormatPr defaultColWidth="8.68359375" defaultRowHeight="15" zeroHeight="false" outlineLevelRow="0" outlineLevelCol="1"/>
  <cols>
    <col collapsed="false" customWidth="true" hidden="false" outlineLevel="0" max="1" min="1" style="1" width="28"/>
    <col collapsed="false" customWidth="true" hidden="false" outlineLevel="0" max="5" min="2" style="1" width="16"/>
    <col collapsed="false" customWidth="true" hidden="false" outlineLevel="1" max="9" min="6" style="1" width="16"/>
    <col collapsed="false" customWidth="true" hidden="false" outlineLevel="0" max="10" min="10" style="1" width="20"/>
  </cols>
  <sheetData>
    <row r="1" customFormat="false" ht="25.5" hidden="false" customHeight="true" outlineLevel="0" collapsed="false">
      <c r="A1" s="2" t="s">
        <v>0</v>
      </c>
      <c r="B1" s="2"/>
      <c r="C1" s="2"/>
      <c r="D1" s="2"/>
      <c r="E1" s="2"/>
      <c r="F1" s="2"/>
      <c r="G1" s="2"/>
      <c r="H1" s="2"/>
      <c r="I1" s="2"/>
      <c r="J1" s="2"/>
    </row>
    <row r="2" customFormat="false" ht="15" hidden="false" customHeight="true" outlineLevel="0" collapsed="false">
      <c r="A2" s="3" t="s">
        <v>1</v>
      </c>
      <c r="B2" s="3"/>
      <c r="C2" s="3"/>
      <c r="D2" s="3"/>
      <c r="E2" s="3"/>
      <c r="F2" s="3"/>
      <c r="G2" s="3"/>
      <c r="H2" s="3"/>
      <c r="I2" s="3"/>
      <c r="J2" s="3"/>
    </row>
    <row r="3" customFormat="false" ht="15" hidden="false" customHeight="true" outlineLevel="0" collapsed="false">
      <c r="A3" s="4" t="str">
        <f aca="true">IF(TODAY()&gt;RatesValidUntil,"⚠  RATES MAY BE OUT OF DATE — checked good to "&amp;TEXT(RatesValidUntil,"d mmm yyyy")&amp;".  See Settings &amp; Rates → block E for what is due.","")</f>
        <v/>
      </c>
      <c r="B3" s="4"/>
      <c r="C3" s="4"/>
      <c r="D3" s="4"/>
      <c r="E3" s="4"/>
      <c r="F3" s="4"/>
      <c r="G3" s="4"/>
      <c r="H3" s="4"/>
      <c r="I3" s="4"/>
      <c r="J3" s="4"/>
    </row>
    <row r="4" customFormat="false" ht="19.5" hidden="false" customHeight="true" outlineLevel="0" collapsed="false">
      <c r="A4" s="5" t="s">
        <v>2</v>
      </c>
      <c r="B4" s="5"/>
      <c r="C4" s="5"/>
      <c r="D4" s="5"/>
      <c r="E4" s="5"/>
      <c r="F4" s="5"/>
      <c r="G4" s="5"/>
      <c r="H4" s="5"/>
      <c r="I4" s="5"/>
      <c r="J4" s="5"/>
    </row>
    <row r="5" customFormat="false" ht="15" hidden="false" customHeight="false" outlineLevel="0" collapsed="false">
      <c r="A5" s="6" t="s">
        <v>3</v>
      </c>
      <c r="B5" s="7" t="s">
        <v>4</v>
      </c>
      <c r="C5" s="7"/>
      <c r="D5" s="8" t="s">
        <v>5</v>
      </c>
      <c r="E5" s="8"/>
      <c r="F5" s="8"/>
      <c r="G5" s="8"/>
      <c r="H5" s="8"/>
      <c r="I5" s="8"/>
      <c r="J5" s="8"/>
    </row>
    <row r="6" customFormat="false" ht="15" hidden="false" customHeight="false" outlineLevel="0" collapsed="false">
      <c r="A6" s="6" t="s">
        <v>6</v>
      </c>
      <c r="B6" s="9" t="s">
        <v>7</v>
      </c>
      <c r="C6" s="10" t="n">
        <f aca="false">IF(OR($B$6="Custom",$B$6=""),"",IFERROR(INDEX(PayScaleRates,MATCH($B$6,PayScaleNames,0),IF($B$5="Casual",2,1)),""))</f>
        <v>37.5</v>
      </c>
      <c r="D6" s="11"/>
      <c r="E6" s="8" t="s">
        <v>8</v>
      </c>
      <c r="F6" s="8"/>
      <c r="G6" s="8"/>
      <c r="H6" s="8"/>
      <c r="I6" s="8"/>
      <c r="J6" s="8"/>
    </row>
    <row r="7" customFormat="false" ht="15" hidden="false" customHeight="false" outlineLevel="0" collapsed="false">
      <c r="A7" s="6" t="s">
        <v>9</v>
      </c>
      <c r="B7" s="9" t="s">
        <v>13</v>
      </c>
      <c r="C7" s="10" t="n">
        <f aca="false">IF(OR(HDCode="None",HDCode="Custom",HDCode=""),"",IFERROR(INDEX(PayScaleRates,MATCH(HDCode,PayScaleNames,0),IF($B$5="Casual",2,1)),""))</f>
        <v>43.77632</v>
      </c>
      <c r="D7" s="11"/>
      <c r="E7" s="8" t="s">
        <v>11</v>
      </c>
      <c r="F7" s="8"/>
      <c r="G7" s="8"/>
      <c r="H7" s="8"/>
      <c r="I7" s="8"/>
      <c r="J7" s="8"/>
    </row>
    <row r="8" customFormat="false" ht="15" hidden="false" customHeight="false" outlineLevel="0" collapsed="false">
      <c r="A8" s="6" t="s">
        <v>12</v>
      </c>
      <c r="B8" s="7" t="s">
        <v>13</v>
      </c>
      <c r="C8" s="7"/>
      <c r="D8" s="8" t="s">
        <v>14</v>
      </c>
      <c r="E8" s="8"/>
      <c r="F8" s="8"/>
      <c r="G8" s="8"/>
      <c r="H8" s="8"/>
      <c r="I8" s="8"/>
      <c r="J8" s="8"/>
    </row>
    <row r="9" customFormat="false" ht="15" hidden="false" customHeight="false" outlineLevel="0" collapsed="false">
      <c r="A9" s="6" t="s">
        <v>15</v>
      </c>
      <c r="B9" s="7" t="s">
        <v>13</v>
      </c>
      <c r="C9" s="7"/>
      <c r="D9" s="8" t="s">
        <v>16</v>
      </c>
      <c r="E9" s="8"/>
      <c r="F9" s="8"/>
      <c r="G9" s="8"/>
      <c r="H9" s="8"/>
      <c r="I9" s="8"/>
      <c r="J9" s="8"/>
    </row>
    <row r="10" customFormat="false" ht="15" hidden="false" customHeight="false" outlineLevel="0" collapsed="false">
      <c r="A10" s="6" t="s">
        <v>17</v>
      </c>
      <c r="B10" s="7" t="s">
        <v>18</v>
      </c>
      <c r="C10" s="7"/>
      <c r="D10" s="8" t="s">
        <v>19</v>
      </c>
      <c r="E10" s="8"/>
      <c r="F10" s="8"/>
      <c r="G10" s="8"/>
      <c r="H10" s="8"/>
      <c r="I10" s="8"/>
      <c r="J10" s="8"/>
    </row>
    <row r="11" customFormat="false" ht="15" hidden="false" customHeight="false" outlineLevel="0" collapsed="false">
      <c r="A11" s="6" t="s">
        <v>20</v>
      </c>
      <c r="B11" s="7" t="s">
        <v>21</v>
      </c>
      <c r="C11" s="7"/>
      <c r="D11" s="8" t="s">
        <v>22</v>
      </c>
      <c r="E11" s="8"/>
      <c r="F11" s="8"/>
      <c r="G11" s="8"/>
      <c r="H11" s="8"/>
      <c r="I11" s="8"/>
      <c r="J11" s="8"/>
    </row>
    <row r="12" customFormat="false" ht="15" hidden="true" customHeight="false" outlineLevel="0" collapsed="false">
      <c r="A12" s="6" t="s">
        <v>434</v>
      </c>
      <c r="B12" s="7"/>
      <c r="C12" s="7"/>
      <c r="D12" s="8" t="s">
        <v>435</v>
      </c>
      <c r="E12" s="8"/>
      <c r="F12" s="8"/>
      <c r="G12" s="8"/>
      <c r="H12" s="8"/>
      <c r="I12" s="8"/>
      <c r="J12" s="8"/>
    </row>
    <row r="13" customFormat="false" ht="15" hidden="false" customHeight="false" outlineLevel="0" collapsed="false">
      <c r="A13" s="6" t="s">
        <v>25</v>
      </c>
      <c r="B13" s="12"/>
      <c r="C13" s="12"/>
      <c r="D13" s="8" t="s">
        <v>26</v>
      </c>
      <c r="E13" s="8"/>
      <c r="F13" s="8"/>
      <c r="G13" s="8"/>
      <c r="H13" s="8"/>
      <c r="I13" s="8"/>
      <c r="J13" s="8"/>
    </row>
    <row r="14" customFormat="false" ht="15" hidden="false" customHeight="true" outlineLevel="0" collapsed="false">
      <c r="A14" s="13" t="s">
        <v>27</v>
      </c>
      <c r="B14" s="14"/>
      <c r="C14" s="15" t="s">
        <v>28</v>
      </c>
      <c r="D14" s="15"/>
      <c r="E14" s="16" t="str">
        <f aca="false">IF(AND(N($B$14)&gt;0,$C$14="No leave"),"⚠  pick a leave type",IF(LeaveHrs=0,"",TEXT(LeavePay,"$#,##0.00")&amp;" at base"))</f>
        <v/>
      </c>
      <c r="F14" s="17" t="s">
        <v>29</v>
      </c>
      <c r="G14" s="17"/>
      <c r="H14" s="17"/>
      <c r="I14" s="17"/>
      <c r="J14" s="17"/>
    </row>
    <row r="15" customFormat="false" ht="15" hidden="false" customHeight="true" outlineLevel="0" collapsed="false">
      <c r="A15" s="6" t="s">
        <v>30</v>
      </c>
      <c r="B15" s="12"/>
      <c r="C15" s="12"/>
      <c r="E15" s="18" t="str">
        <f aca="false">IF($B$15="","",IF($B$5="Casual","⚠  casuals are not entitled (award cl 23.4)",TEXT($B$15*Hrs_PHRDO,"0.0")&amp;" hrs at base"))</f>
        <v/>
      </c>
      <c r="F15" s="8" t="s">
        <v>31</v>
      </c>
      <c r="G15" s="8"/>
      <c r="H15" s="8"/>
      <c r="I15" s="8"/>
      <c r="J15" s="8"/>
    </row>
    <row r="16" customFormat="false" ht="19.5" hidden="false" customHeight="true" outlineLevel="0" collapsed="false">
      <c r="A16" s="5" t="s">
        <v>32</v>
      </c>
      <c r="B16" s="5"/>
      <c r="C16" s="5"/>
      <c r="D16" s="5"/>
      <c r="E16" s="5"/>
      <c r="F16" s="5"/>
      <c r="G16" s="19" t="s">
        <v>33</v>
      </c>
      <c r="H16" s="19"/>
      <c r="I16" s="19"/>
      <c r="J16" s="19"/>
    </row>
    <row r="17" customFormat="false" ht="25.5" hidden="false" customHeight="true" outlineLevel="0" collapsed="false">
      <c r="A17" s="20" t="s">
        <v>34</v>
      </c>
      <c r="B17" s="20" t="s">
        <v>35</v>
      </c>
      <c r="C17" s="20" t="s">
        <v>36</v>
      </c>
      <c r="D17" s="20" t="s">
        <v>37</v>
      </c>
      <c r="E17" s="20" t="s">
        <v>38</v>
      </c>
      <c r="F17" s="21" t="s">
        <v>39</v>
      </c>
      <c r="G17" s="21" t="s">
        <v>40</v>
      </c>
      <c r="H17" s="21" t="s">
        <v>41</v>
      </c>
      <c r="I17" s="21" t="s">
        <v>42</v>
      </c>
      <c r="J17" s="20" t="s">
        <v>43</v>
      </c>
    </row>
    <row r="18" customFormat="false" ht="15" hidden="false" customHeight="false" outlineLevel="0" collapsed="false">
      <c r="A18" s="22" t="s">
        <v>44</v>
      </c>
      <c r="B18" s="23"/>
      <c r="C18" s="23"/>
      <c r="D18" s="23"/>
      <c r="E18" s="23"/>
      <c r="F18" s="23"/>
      <c r="G18" s="23"/>
      <c r="H18" s="23"/>
      <c r="I18" s="23"/>
      <c r="J18" s="24" t="n">
        <f aca="false">SUMPRODUCT($B18:$E18,{1,2,2.5,4})*BaseRate+SUMPRODUCT($F18:$I18,{1,2,2.5,4})*HDRate</f>
        <v>0</v>
      </c>
    </row>
    <row r="19" customFormat="false" ht="15" hidden="false" customHeight="false" outlineLevel="0" collapsed="false">
      <c r="A19" s="22" t="s">
        <v>45</v>
      </c>
      <c r="B19" s="23"/>
      <c r="C19" s="23"/>
      <c r="D19" s="23"/>
      <c r="E19" s="23"/>
      <c r="F19" s="23"/>
      <c r="G19" s="23"/>
      <c r="H19" s="23"/>
      <c r="I19" s="23"/>
      <c r="J19" s="24" t="n">
        <f aca="false">SUMPRODUCT($B19:$E19,{1,2,2.5,4})*BaseRate+SUMPRODUCT($F19:$I19,{1,2,2.5,4})*HDRate</f>
        <v>0</v>
      </c>
    </row>
    <row r="20" customFormat="false" ht="15" hidden="false" customHeight="false" outlineLevel="0" collapsed="false">
      <c r="A20" s="22" t="s">
        <v>46</v>
      </c>
      <c r="B20" s="23"/>
      <c r="C20" s="23"/>
      <c r="D20" s="23"/>
      <c r="E20" s="23"/>
      <c r="F20" s="23"/>
      <c r="G20" s="23"/>
      <c r="H20" s="23"/>
      <c r="I20" s="23"/>
      <c r="J20" s="24" t="n">
        <f aca="false">SUMPRODUCT($B20:$E20,{1,2,2.5,4})*BaseRate+SUMPRODUCT($F20:$I20,{1,2,2.5,4})*HDRate</f>
        <v>0</v>
      </c>
    </row>
    <row r="21" customFormat="false" ht="15" hidden="false" customHeight="false" outlineLevel="0" collapsed="false">
      <c r="A21" s="22" t="s">
        <v>47</v>
      </c>
      <c r="B21" s="23"/>
      <c r="C21" s="23"/>
      <c r="D21" s="23"/>
      <c r="E21" s="23"/>
      <c r="F21" s="23"/>
      <c r="G21" s="23"/>
      <c r="H21" s="23"/>
      <c r="I21" s="23"/>
      <c r="J21" s="24" t="n">
        <f aca="false">SUMPRODUCT($B21:$E21,{1,2,2.5,4})*BaseRate+SUMPRODUCT($F21:$I21,{1,2,2.5,4})*HDRate</f>
        <v>0</v>
      </c>
    </row>
    <row r="22" customFormat="false" ht="15" hidden="false" customHeight="false" outlineLevel="0" collapsed="false">
      <c r="A22" s="22" t="s">
        <v>48</v>
      </c>
      <c r="B22" s="23"/>
      <c r="C22" s="23"/>
      <c r="D22" s="23"/>
      <c r="E22" s="23"/>
      <c r="F22" s="23"/>
      <c r="G22" s="23"/>
      <c r="H22" s="23"/>
      <c r="I22" s="23"/>
      <c r="J22" s="24" t="n">
        <f aca="false">SUMPRODUCT($B22:$E22,{1,2,2.5,4})*BaseRate+SUMPRODUCT($F22:$I22,{1,2,2.5,4})*HDRate</f>
        <v>0</v>
      </c>
    </row>
    <row r="23" customFormat="false" ht="15" hidden="false" customHeight="false" outlineLevel="0" collapsed="false">
      <c r="A23" s="25" t="s">
        <v>49</v>
      </c>
      <c r="B23" s="23"/>
      <c r="C23" s="23"/>
      <c r="D23" s="23"/>
      <c r="E23" s="23"/>
      <c r="F23" s="23"/>
      <c r="G23" s="23"/>
      <c r="H23" s="23"/>
      <c r="I23" s="23"/>
      <c r="J23" s="24" t="n">
        <f aca="false">SUMPRODUCT($B23:$E23,{1,2,2.5,4})*BaseRate+SUMPRODUCT($F23:$I23,{1,2,2.5,4})*HDRate</f>
        <v>0</v>
      </c>
    </row>
    <row r="24" customFormat="false" ht="15" hidden="false" customHeight="false" outlineLevel="0" collapsed="false">
      <c r="A24" s="26" t="s">
        <v>50</v>
      </c>
      <c r="B24" s="27"/>
      <c r="C24" s="27"/>
      <c r="D24" s="27"/>
      <c r="E24" s="27"/>
      <c r="F24" s="27"/>
      <c r="G24" s="27"/>
      <c r="H24" s="27"/>
      <c r="I24" s="27"/>
      <c r="J24" s="28" t="n">
        <f aca="false">SUMPRODUCT($B24:$E24,{1,2,2.5,4})*BaseRate+SUMPRODUCT($F24:$I24,{1,2,2.5,4})*HDRate</f>
        <v>0</v>
      </c>
    </row>
    <row r="25" customFormat="false" ht="15" hidden="false" customHeight="false" outlineLevel="0" collapsed="false">
      <c r="A25" s="29" t="s">
        <v>51</v>
      </c>
      <c r="B25" s="30"/>
      <c r="C25" s="30"/>
      <c r="D25" s="30"/>
      <c r="E25" s="30"/>
      <c r="F25" s="30"/>
      <c r="G25" s="30"/>
      <c r="H25" s="30"/>
      <c r="I25" s="30"/>
      <c r="J25" s="31" t="n">
        <f aca="false">SUMPRODUCT($B25:$E25,{1,2,2.5,4})*BaseRate+SUMPRODUCT($F25:$I25,{1,2,2.5,4})*HDRate</f>
        <v>0</v>
      </c>
    </row>
    <row r="26" customFormat="false" ht="15" hidden="false" customHeight="false" outlineLevel="0" collapsed="false">
      <c r="A26" s="22" t="s">
        <v>52</v>
      </c>
      <c r="B26" s="23"/>
      <c r="C26" s="23"/>
      <c r="D26" s="23"/>
      <c r="E26" s="23"/>
      <c r="F26" s="23"/>
      <c r="G26" s="23"/>
      <c r="H26" s="23"/>
      <c r="I26" s="23"/>
      <c r="J26" s="24" t="n">
        <f aca="false">SUMPRODUCT($B26:$E26,{1,2,2.5,4})*BaseRate+SUMPRODUCT($F26:$I26,{1,2,2.5,4})*HDRate</f>
        <v>0</v>
      </c>
    </row>
    <row r="27" customFormat="false" ht="15" hidden="false" customHeight="false" outlineLevel="0" collapsed="false">
      <c r="A27" s="22" t="s">
        <v>53</v>
      </c>
      <c r="B27" s="23"/>
      <c r="C27" s="23"/>
      <c r="D27" s="23"/>
      <c r="E27" s="23"/>
      <c r="F27" s="23"/>
      <c r="G27" s="23"/>
      <c r="H27" s="23"/>
      <c r="I27" s="23"/>
      <c r="J27" s="24" t="n">
        <f aca="false">SUMPRODUCT($B27:$E27,{1,2,2.5,4})*BaseRate+SUMPRODUCT($F27:$I27,{1,2,2.5,4})*HDRate</f>
        <v>0</v>
      </c>
    </row>
    <row r="28" customFormat="false" ht="15" hidden="false" customHeight="false" outlineLevel="0" collapsed="false">
      <c r="A28" s="22" t="s">
        <v>54</v>
      </c>
      <c r="B28" s="23"/>
      <c r="C28" s="23"/>
      <c r="D28" s="23"/>
      <c r="E28" s="23"/>
      <c r="F28" s="23"/>
      <c r="G28" s="23"/>
      <c r="H28" s="23"/>
      <c r="I28" s="23"/>
      <c r="J28" s="24" t="n">
        <f aca="false">SUMPRODUCT($B28:$E28,{1,2,2.5,4})*BaseRate+SUMPRODUCT($F28:$I28,{1,2,2.5,4})*HDRate</f>
        <v>0</v>
      </c>
    </row>
    <row r="29" customFormat="false" ht="15" hidden="false" customHeight="false" outlineLevel="0" collapsed="false">
      <c r="A29" s="22" t="s">
        <v>55</v>
      </c>
      <c r="B29" s="23"/>
      <c r="C29" s="23"/>
      <c r="D29" s="23"/>
      <c r="E29" s="23"/>
      <c r="F29" s="23"/>
      <c r="G29" s="23"/>
      <c r="H29" s="23"/>
      <c r="I29" s="23"/>
      <c r="J29" s="24" t="n">
        <f aca="false">SUMPRODUCT($B29:$E29,{1,2,2.5,4})*BaseRate+SUMPRODUCT($F29:$I29,{1,2,2.5,4})*HDRate</f>
        <v>0</v>
      </c>
    </row>
    <row r="30" customFormat="false" ht="15" hidden="false" customHeight="false" outlineLevel="0" collapsed="false">
      <c r="A30" s="25" t="s">
        <v>56</v>
      </c>
      <c r="B30" s="23"/>
      <c r="C30" s="23"/>
      <c r="D30" s="23"/>
      <c r="E30" s="23"/>
      <c r="F30" s="23"/>
      <c r="G30" s="23"/>
      <c r="H30" s="23"/>
      <c r="I30" s="23"/>
      <c r="J30" s="24" t="n">
        <f aca="false">SUMPRODUCT($B30:$E30,{1,2,2.5,4})*BaseRate+SUMPRODUCT($F30:$I30,{1,2,2.5,4})*HDRate</f>
        <v>0</v>
      </c>
    </row>
    <row r="31" customFormat="false" ht="15" hidden="false" customHeight="false" outlineLevel="0" collapsed="false">
      <c r="A31" s="25" t="s">
        <v>57</v>
      </c>
      <c r="B31" s="23"/>
      <c r="C31" s="23"/>
      <c r="D31" s="23"/>
      <c r="E31" s="23"/>
      <c r="F31" s="23"/>
      <c r="G31" s="23"/>
      <c r="H31" s="23"/>
      <c r="I31" s="23"/>
      <c r="J31" s="24" t="n">
        <f aca="false">SUMPRODUCT($B31:$E31,{1,2,2.5,4})*BaseRate+SUMPRODUCT($F31:$I31,{1,2,2.5,4})*HDRate</f>
        <v>0</v>
      </c>
    </row>
    <row r="32" customFormat="false" ht="15" hidden="false" customHeight="false" outlineLevel="0" collapsed="false">
      <c r="A32" s="32" t="s">
        <v>58</v>
      </c>
      <c r="B32" s="33" t="n">
        <f aca="false">IF(SUM(B18:B31)&gt;0,SUM(B18:B31),N($C$33))</f>
        <v>76</v>
      </c>
      <c r="C32" s="33" t="n">
        <f aca="false">SUM(C18:C31)</f>
        <v>0</v>
      </c>
      <c r="D32" s="33" t="n">
        <f aca="false">SUM(D18:D31)</f>
        <v>0</v>
      </c>
      <c r="E32" s="33" t="n">
        <f aca="false">SUM(E18:E31)</f>
        <v>0</v>
      </c>
      <c r="F32" s="33" t="n">
        <f aca="false">SUM(F18:F31)</f>
        <v>0</v>
      </c>
      <c r="G32" s="33" t="n">
        <f aca="false">SUM(G18:G31)</f>
        <v>0</v>
      </c>
      <c r="H32" s="33" t="n">
        <f aca="false">SUM(H18:H31)</f>
        <v>0</v>
      </c>
      <c r="I32" s="33" t="n">
        <f aca="false">SUM(I18:I31)</f>
        <v>0</v>
      </c>
      <c r="J32" s="34" t="n">
        <f aca="false">SUM(J18:J31)</f>
        <v>0</v>
      </c>
    </row>
    <row r="33" customFormat="false" ht="18" hidden="false" customHeight="true" outlineLevel="0" collapsed="false">
      <c r="A33" s="35" t="s">
        <v>59</v>
      </c>
      <c r="B33" s="35"/>
      <c r="C33" s="36" t="n">
        <v>76</v>
      </c>
      <c r="D33" s="37" t="n">
        <f aca="false">SUM($B$32:$I$32)</f>
        <v>76</v>
      </c>
      <c r="E33" s="37"/>
      <c r="F33" s="38" t="str">
        <f aca="false">IF(N($C$33)&gt;0,"quick-fill "&amp;TEXT($C$33,"0")&amp;" ordinary hrs"&amp;IF(SUM($F$32:$I$32)&gt;0,"  +  "&amp;TEXT(SUM($F$32:$I$32),"0")&amp;" HD hrs from the grid  =  "&amp;TEXT($C$33+SUM($F$32:$I$32),"0")&amp;" paid","  ·  add overtime, penalties or HD hours in the grid"),"ordinary  "&amp;TEXT($B$32,"0.0")&amp;"    ·    higher duties  "&amp;TEXT(SUM($F$32:$I$32),"0.0"))&amp;IF(LeaveHrs&gt;0,"    ·    paid leave  "&amp;TEXT(LeaveHrs,"0.0"),"")</f>
        <v>quick-fill 76 ordinary hrs  ·  add overtime, penalties or HD hours in the grid</v>
      </c>
      <c r="G33" s="38"/>
      <c r="H33" s="38"/>
      <c r="I33" s="38"/>
      <c r="J33" s="39"/>
    </row>
    <row r="34" customFormat="false" ht="19.5" hidden="false" customHeight="true" outlineLevel="0" collapsed="false">
      <c r="A34" s="5" t="s">
        <v>60</v>
      </c>
      <c r="B34" s="5"/>
      <c r="C34" s="5"/>
      <c r="D34" s="5"/>
      <c r="E34" s="5"/>
      <c r="F34" s="5"/>
      <c r="G34" s="5"/>
      <c r="H34" s="5"/>
      <c r="I34" s="5"/>
      <c r="J34" s="5"/>
    </row>
    <row r="35" customFormat="false" ht="19.5" hidden="false" customHeight="true" outlineLevel="0" collapsed="false">
      <c r="A35" s="40" t="s">
        <v>61</v>
      </c>
      <c r="B35" s="40"/>
      <c r="C35" s="40"/>
      <c r="D35" s="40"/>
      <c r="E35" s="40"/>
      <c r="F35" s="41" t="n">
        <f aca="false">$J$66-$J$67-$J$68-$J$69-$J$70-$J$71</f>
        <v>2974.1488200000003</v>
      </c>
      <c r="G35" s="41"/>
      <c r="H35" s="41"/>
      <c r="I35" s="41"/>
      <c r="J35" s="41"/>
    </row>
    <row r="36" customFormat="false" ht="19.5" hidden="false" customHeight="true" outlineLevel="0" collapsed="false">
      <c r="A36" s="40"/>
      <c r="B36" s="40"/>
      <c r="C36" s="40"/>
      <c r="D36" s="40"/>
      <c r="E36" s="40"/>
      <c r="F36" s="41"/>
      <c r="G36" s="41"/>
      <c r="H36" s="41"/>
      <c r="I36" s="41"/>
      <c r="J36" s="41"/>
    </row>
    <row r="37" customFormat="false" ht="6" hidden="false" customHeight="true" outlineLevel="0" collapsed="false"/>
    <row r="38" customFormat="false" ht="15" hidden="false" customHeight="false" outlineLevel="0" collapsed="false">
      <c r="A38" s="42" t="s">
        <v>62</v>
      </c>
      <c r="B38" s="42"/>
      <c r="D38" s="43" t="s">
        <v>63</v>
      </c>
      <c r="F38" s="43" t="s">
        <v>64</v>
      </c>
      <c r="H38" s="43" t="s">
        <v>65</v>
      </c>
      <c r="J38" s="43" t="s">
        <v>66</v>
      </c>
    </row>
    <row r="39" customFormat="false" ht="21.75" hidden="false" customHeight="true" outlineLevel="0" collapsed="false">
      <c r="A39" s="44" t="n">
        <f aca="false">$J$58</f>
        <v>4048.6488200000003</v>
      </c>
      <c r="B39" s="44"/>
      <c r="D39" s="45" t="n">
        <f aca="false">IF((SUM($B$32:$I$32)+LeaveHrs)=0,0,$J$58/(SUM($B$32:$I$32)+LeaveHrs))</f>
        <v>53.271695</v>
      </c>
      <c r="F39" s="45" t="n">
        <f aca="false">IF((SUM($B$32:$I$32)+LeaveHrs)=0,0,NetBank/(SUM($B$32:$I$32)+LeaveHrs))</f>
        <v>39.133537105263166</v>
      </c>
      <c r="H39" s="46" t="n">
        <f aca="false">NetBank*FnPerYear</f>
        <v>77327.86932000001</v>
      </c>
      <c r="J39" s="47" t="n">
        <f aca="false">IF($J$66=0,0,$J$67/$J$66)</f>
        <v>0.23020025727990898</v>
      </c>
    </row>
    <row r="40" customFormat="false" ht="6" hidden="false" customHeight="true" outlineLevel="0" collapsed="false"/>
    <row r="41" customFormat="false" ht="6" hidden="false" customHeight="true" outlineLevel="0" collapsed="false"/>
    <row r="42" customFormat="false" ht="19.5" hidden="false" customHeight="true" outlineLevel="0" collapsed="false">
      <c r="A42" s="5" t="s">
        <v>67</v>
      </c>
      <c r="B42" s="5"/>
      <c r="C42" s="5"/>
      <c r="D42" s="5"/>
      <c r="E42" s="5"/>
      <c r="F42" s="5"/>
      <c r="G42" s="5"/>
      <c r="H42" s="5"/>
      <c r="I42" s="5"/>
      <c r="J42" s="5"/>
    </row>
    <row r="43" customFormat="false" ht="15" hidden="false" customHeight="false" outlineLevel="0" collapsed="false">
      <c r="A43" s="48" t="s">
        <v>68</v>
      </c>
      <c r="B43" s="48"/>
      <c r="C43" s="48"/>
      <c r="D43" s="48"/>
      <c r="F43" s="8" t="str">
        <f aca="false">TEXT($B$32,"0.0")&amp;" hrs × "&amp;TEXT(BaseRate,"$0.00")&amp;IF(LeaveHrs&gt;0,"   +   "&amp;TEXT(LeaveHrs,"0.0")&amp;" leave hrs @ base","")</f>
        <v>76.0 hrs × $37.50</v>
      </c>
      <c r="G43" s="8"/>
      <c r="H43" s="8"/>
      <c r="I43" s="8"/>
      <c r="J43" s="49" t="n">
        <f aca="false">$B$32*BaseRate+LeavePay</f>
        <v>2850</v>
      </c>
    </row>
    <row r="44" customFormat="false" ht="15" hidden="false" customHeight="false" outlineLevel="0" collapsed="false">
      <c r="A44" s="50" t="s">
        <v>69</v>
      </c>
      <c r="B44" s="50"/>
      <c r="C44" s="50"/>
      <c r="D44" s="50"/>
      <c r="E44" s="51"/>
      <c r="F44" s="52" t="str">
        <f aca="false">TEXT($C$32,"0.0")&amp;" hrs × "&amp;TEXT(BaseRate*2,"$0.00")</f>
        <v>0.0 hrs × $75.00</v>
      </c>
      <c r="G44" s="52"/>
      <c r="H44" s="52"/>
      <c r="I44" s="52"/>
      <c r="J44" s="53" t="n">
        <f aca="false">$C$32*2*BaseRate</f>
        <v>0</v>
      </c>
    </row>
    <row r="45" customFormat="false" ht="15" hidden="false" customHeight="false" outlineLevel="0" collapsed="false">
      <c r="A45" s="48" t="s">
        <v>70</v>
      </c>
      <c r="B45" s="48"/>
      <c r="C45" s="48"/>
      <c r="D45" s="48"/>
      <c r="F45" s="8" t="str">
        <f aca="false">TEXT($D$32,"0.0")&amp;" hrs × "&amp;TEXT(BaseRate*2.5,"$0.00")</f>
        <v>0.0 hrs × $93.75</v>
      </c>
      <c r="G45" s="8"/>
      <c r="H45" s="8"/>
      <c r="I45" s="8"/>
      <c r="J45" s="49" t="n">
        <f aca="false">$D$32*2.5*BaseRate</f>
        <v>0</v>
      </c>
    </row>
    <row r="46" customFormat="false" ht="15" hidden="false" customHeight="false" outlineLevel="0" collapsed="false">
      <c r="A46" s="50" t="s">
        <v>71</v>
      </c>
      <c r="B46" s="50"/>
      <c r="C46" s="50"/>
      <c r="D46" s="50"/>
      <c r="E46" s="51"/>
      <c r="F46" s="52" t="str">
        <f aca="false">TEXT($E$32,"0.0")&amp;" hrs × "&amp;TEXT(BaseRate*4,"$0.00")</f>
        <v>0.0 hrs × $150.00</v>
      </c>
      <c r="G46" s="52"/>
      <c r="H46" s="52"/>
      <c r="I46" s="52"/>
      <c r="J46" s="53" t="n">
        <f aca="false">$E$32*4*BaseRate</f>
        <v>0</v>
      </c>
    </row>
    <row r="47" customFormat="false" ht="15" hidden="false" customHeight="false" outlineLevel="0" collapsed="false">
      <c r="A47" s="48" t="s">
        <v>9</v>
      </c>
      <c r="B47" s="48"/>
      <c r="C47" s="48"/>
      <c r="D47" s="48"/>
      <c r="F47" s="8" t="str">
        <f aca="false">IF(AND(SUM($F$32:$I$32)&gt;0,OR(HDCode="None",AND(OR(HDCode="Custom",HDCode=""),N($D$7)=0))),TEXT(SUM($F$32:$I$32),"0.0")&amp;" hrs @ base — no HD level/rate picked",TEXT(SUM($F$32:$I$32),"0.0")&amp;" hrs @ HD rates")</f>
        <v>0.0 hrs @ HD rates</v>
      </c>
      <c r="G47" s="8"/>
      <c r="H47" s="8"/>
      <c r="I47" s="8"/>
      <c r="J47" s="49" t="n">
        <f aca="false">SUMPRODUCT($F$32:$I$32,{1,2,2.5,4})*HDRate</f>
        <v>0</v>
      </c>
    </row>
    <row r="48" customFormat="false" ht="15" hidden="false" customHeight="false" outlineLevel="0" collapsed="false">
      <c r="A48" s="50" t="s">
        <v>72</v>
      </c>
      <c r="B48" s="50"/>
      <c r="C48" s="50"/>
      <c r="D48" s="50"/>
      <c r="E48" s="51"/>
      <c r="F48" s="52" t="str">
        <f aca="false">IF($B$15="","award cl 23.4 — pick days in ① above",TEXT($B$15,"0")&amp;IF($B$15*1=1," day × "," days × ")&amp;TEXT(Hrs_PHRDO,"0.0")&amp;" hrs × "&amp;TEXT(BaseRate,"$0.00"))</f>
        <v>award cl 23.4 — pick days in ① above</v>
      </c>
      <c r="G48" s="52"/>
      <c r="H48" s="52"/>
      <c r="I48" s="52"/>
      <c r="J48" s="53" t="n">
        <f aca="false">IF($B$5="Casual",0,IFERROR($B$15*Hrs_PHRDO*BaseRate,0))</f>
        <v>0</v>
      </c>
    </row>
    <row r="49" customFormat="false" ht="15" hidden="false" customHeight="false" outlineLevel="0" collapsed="false">
      <c r="A49" s="54" t="s">
        <v>73</v>
      </c>
      <c r="B49" s="54"/>
      <c r="C49" s="54"/>
      <c r="D49" s="54"/>
      <c r="J49" s="55" t="n">
        <f aca="false">SUM(J43:J48)</f>
        <v>2850</v>
      </c>
    </row>
    <row r="50" customFormat="false" ht="15" hidden="false" customHeight="false" outlineLevel="0" collapsed="false">
      <c r="A50" s="48" t="s">
        <v>74</v>
      </c>
      <c r="B50" s="48"/>
      <c r="C50" s="48"/>
      <c r="D50" s="48"/>
      <c r="G50" s="56" t="n">
        <f aca="false">IF($B$8="None",0,IF($B$8="OO3-OO5 (26.96%)",Rate_ShiftLo,IF($B$8="OO6 (27.46%)",Rate_ShiftHi,IF(LEFT($B$6,2)="L6",Rate_ShiftHi,Rate_ShiftLo))))</f>
        <v>0.2696</v>
      </c>
      <c r="H50" s="8" t="s">
        <v>75</v>
      </c>
      <c r="I50" s="8"/>
      <c r="J50" s="49" t="n">
        <f aca="false">($B$32*BaseRate+LeavePay*LvShift)*$G$50+$F$32*HDRate*IF(OR(HDCode="None",AND(OR(HDCode="Custom",HDCode=""),N($D$7)=0)),$G$50,IF($B$9="None",0,IF($B$9="OO3-OO5 (26.96%)",Rate_ShiftLo,IF($B$9="OO6 (27.46%)",Rate_ShiftHi,IF(LEFT(HDCode,2)="L6",Rate_ShiftHi,Rate_ShiftLo)))))</f>
        <v>768.36</v>
      </c>
    </row>
    <row r="51" customFormat="false" ht="15" hidden="false" customHeight="false" outlineLevel="0" collapsed="false">
      <c r="A51" s="50" t="s">
        <v>17</v>
      </c>
      <c r="B51" s="50"/>
      <c r="C51" s="50"/>
      <c r="D51" s="50"/>
      <c r="E51" s="51"/>
      <c r="F51" s="51"/>
      <c r="G51" s="57" t="n">
        <f aca="false">IF($B$5="Casual",0,IF($B$10="Full rate",Rate_TSVFull,IF($B$10="Half rate",Rate_TSVHalf,0)))</f>
        <v>0</v>
      </c>
      <c r="H51" s="52" t="s">
        <v>76</v>
      </c>
      <c r="I51" s="52"/>
      <c r="J51" s="53" t="n">
        <f aca="false">MIN($B$32+$F$32+LeaveHrs+$D$32,76)*$G$51</f>
        <v>0</v>
      </c>
    </row>
    <row r="52" customFormat="false" ht="15" hidden="false" customHeight="false" outlineLevel="0" collapsed="false">
      <c r="A52" s="48" t="s">
        <v>77</v>
      </c>
      <c r="B52" s="48"/>
      <c r="C52" s="48"/>
      <c r="D52" s="48"/>
      <c r="G52" s="58" t="n">
        <f aca="false">Rate_Oper</f>
        <v>4.9867</v>
      </c>
      <c r="H52" s="8" t="s">
        <v>76</v>
      </c>
      <c r="I52" s="8"/>
      <c r="J52" s="49" t="n">
        <f aca="false">MIN($B$32+$F$32+LeaveHrs*LvOper+$D$32,76)*$G$52</f>
        <v>378.9892</v>
      </c>
    </row>
    <row r="53" customFormat="false" ht="15" hidden="false" customHeight="false" outlineLevel="0" collapsed="false">
      <c r="A53" s="50" t="s">
        <v>20</v>
      </c>
      <c r="B53" s="50"/>
      <c r="C53" s="50"/>
      <c r="D53" s="50"/>
      <c r="E53" s="51"/>
      <c r="F53" s="51"/>
      <c r="G53" s="57" t="n">
        <f aca="false">IF($B$11="Yes",Rate_Ret,0)</f>
        <v>0.5921</v>
      </c>
      <c r="H53" s="52" t="s">
        <v>76</v>
      </c>
      <c r="I53" s="52"/>
      <c r="J53" s="53" t="n">
        <f aca="false">MIN($B$32+$F$32+LeaveHrs*LvRet+$D$32,76)*$G$53</f>
        <v>44.9996</v>
      </c>
    </row>
    <row r="54" customFormat="false" ht="15" hidden="false" customHeight="false" outlineLevel="0" collapsed="false">
      <c r="A54" s="48" t="s">
        <v>78</v>
      </c>
      <c r="B54" s="48"/>
      <c r="C54" s="48"/>
      <c r="D54" s="48"/>
      <c r="G54" s="58" t="n">
        <f aca="false">Rate_Laun</f>
        <v>0.082895</v>
      </c>
      <c r="H54" s="8" t="s">
        <v>76</v>
      </c>
      <c r="I54" s="8"/>
      <c r="J54" s="49" t="n">
        <f aca="false">MIN($B$32+$F$32+$D$32,76)*$G$54</f>
        <v>6.30002</v>
      </c>
    </row>
    <row r="55" customFormat="false" ht="15" hidden="false" customHeight="false" outlineLevel="0" collapsed="false">
      <c r="A55" s="50" t="s">
        <v>436</v>
      </c>
      <c r="B55" s="50"/>
      <c r="C55" s="50"/>
      <c r="D55" s="50"/>
      <c r="E55" s="51"/>
      <c r="F55" s="51"/>
      <c r="G55" s="59" t="n">
        <f aca="false">0</f>
        <v>0</v>
      </c>
      <c r="H55" s="52" t="s">
        <v>79</v>
      </c>
      <c r="I55" s="52"/>
      <c r="J55" s="53" t="n">
        <f aca="false">$G$55</f>
        <v>0</v>
      </c>
    </row>
    <row r="56" customFormat="false" ht="15" hidden="false" customHeight="false" outlineLevel="0" collapsed="false">
      <c r="A56" s="6" t="s">
        <v>80</v>
      </c>
      <c r="B56" s="60" t="s">
        <v>81</v>
      </c>
      <c r="C56" s="60"/>
      <c r="D56" s="60"/>
      <c r="E56" s="61" t="s">
        <v>82</v>
      </c>
      <c r="F56" s="62" t="n">
        <v>0</v>
      </c>
      <c r="G56" s="63" t="n">
        <f aca="false">Rate_InCharge</f>
        <v>16.39</v>
      </c>
      <c r="H56" s="8" t="s">
        <v>83</v>
      </c>
      <c r="I56" s="8"/>
      <c r="J56" s="49" t="n">
        <f aca="false">$B$13*$G$56</f>
        <v>0</v>
      </c>
    </row>
    <row r="57" customFormat="false" ht="15" hidden="false" customHeight="false" outlineLevel="0" collapsed="false">
      <c r="A57" s="54" t="s">
        <v>84</v>
      </c>
      <c r="B57" s="54"/>
      <c r="C57" s="54"/>
      <c r="D57" s="54"/>
      <c r="J57" s="55" t="n">
        <f aca="false">SUM(J50:J56)+CustomAllow</f>
        <v>1198.6488200000001</v>
      </c>
    </row>
    <row r="58" customFormat="false" ht="19.5" hidden="false" customHeight="true" outlineLevel="0" collapsed="false">
      <c r="A58" s="64" t="s">
        <v>85</v>
      </c>
      <c r="B58" s="64"/>
      <c r="C58" s="64"/>
      <c r="D58" s="64"/>
      <c r="E58" s="64"/>
      <c r="F58" s="64"/>
      <c r="G58" s="64"/>
      <c r="H58" s="64"/>
      <c r="I58" s="65"/>
      <c r="J58" s="66" t="n">
        <f aca="false">J49+J57</f>
        <v>4048.6488200000003</v>
      </c>
    </row>
    <row r="59" customFormat="false" ht="19.5" hidden="false" customHeight="true" outlineLevel="0" collapsed="false">
      <c r="A59" s="5" t="s">
        <v>86</v>
      </c>
      <c r="B59" s="5"/>
      <c r="C59" s="5"/>
      <c r="D59" s="5"/>
      <c r="E59" s="5"/>
      <c r="F59" s="5"/>
      <c r="G59" s="5"/>
      <c r="H59" s="5"/>
      <c r="I59" s="5"/>
      <c r="J59" s="5"/>
    </row>
    <row r="60" customFormat="false" ht="15" hidden="false" customHeight="false" outlineLevel="0" collapsed="false">
      <c r="A60" s="48" t="s">
        <v>87</v>
      </c>
      <c r="B60" s="48"/>
      <c r="C60" s="48"/>
      <c r="D60" s="48"/>
      <c r="E60" s="7" t="s">
        <v>13</v>
      </c>
      <c r="F60" s="7"/>
      <c r="G60" s="7"/>
      <c r="H60" s="8" t="s">
        <v>88</v>
      </c>
      <c r="I60" s="8"/>
      <c r="J60" s="8"/>
    </row>
    <row r="61" customFormat="false" ht="15" hidden="false" customHeight="false" outlineLevel="0" collapsed="false">
      <c r="A61" s="50" t="s">
        <v>89</v>
      </c>
      <c r="B61" s="50"/>
      <c r="C61" s="50"/>
      <c r="D61" s="50"/>
      <c r="E61" s="7" t="s">
        <v>90</v>
      </c>
      <c r="F61" s="7"/>
      <c r="G61" s="7"/>
      <c r="H61" s="52" t="s">
        <v>91</v>
      </c>
      <c r="I61" s="52"/>
      <c r="J61" s="52"/>
    </row>
    <row r="62" customFormat="false" ht="15" hidden="false" customHeight="false" outlineLevel="0" collapsed="false">
      <c r="A62" s="48" t="s">
        <v>92</v>
      </c>
      <c r="B62" s="48"/>
      <c r="C62" s="48"/>
      <c r="D62" s="48"/>
      <c r="E62" s="7" t="s">
        <v>93</v>
      </c>
      <c r="F62" s="7"/>
      <c r="G62" s="7"/>
      <c r="H62" s="8" t="str">
        <f aca="false">IF($E$62="No — after-tax","RemServ can take your standard 5% pre-tax instead — the same percentage, but it leaves before income tax",TEXT($E$69,"0.00%")&amp;" of base, pre-tax — the fund's 15% tax then leaves "&amp;TEXT($E$69*(1-ContribTax),"0.00%")&amp;" in your account")</f>
        <v>RemServ can take your standard 5% pre-tax instead — the same percentage, but it leaves before income tax</v>
      </c>
      <c r="I62" s="8"/>
      <c r="J62" s="49" t="n">
        <f aca="false">IF($E$62="No — after-tax",0,$E$69*($J$43+$F$32*HDRate+$D$32*BaseRate))</f>
        <v>0</v>
      </c>
    </row>
    <row r="63" customFormat="false" ht="15" hidden="false" customHeight="false" outlineLevel="0" collapsed="false">
      <c r="A63" s="50" t="s">
        <v>94</v>
      </c>
      <c r="B63" s="50"/>
      <c r="C63" s="50"/>
      <c r="D63" s="50"/>
      <c r="E63" s="62" t="n">
        <v>0</v>
      </c>
      <c r="F63" s="52" t="s">
        <v>95</v>
      </c>
      <c r="G63" s="52"/>
      <c r="H63" s="52"/>
      <c r="I63" s="52"/>
      <c r="J63" s="53" t="n">
        <f aca="false">$E$63</f>
        <v>0</v>
      </c>
    </row>
    <row r="64" customFormat="false" ht="15" hidden="false" customHeight="false" outlineLevel="0" collapsed="false">
      <c r="A64" s="48" t="s">
        <v>96</v>
      </c>
      <c r="B64" s="48"/>
      <c r="C64" s="48"/>
      <c r="D64" s="48"/>
      <c r="E64" s="62" t="n">
        <v>0</v>
      </c>
      <c r="F64" s="8" t="s">
        <v>97</v>
      </c>
      <c r="G64" s="8"/>
      <c r="H64" s="8"/>
      <c r="I64" s="8"/>
      <c r="J64" s="49" t="n">
        <f aca="false">$E$64</f>
        <v>0</v>
      </c>
    </row>
    <row r="65" customFormat="false" ht="15" hidden="false" customHeight="false" outlineLevel="0" collapsed="false">
      <c r="A65" s="50" t="s">
        <v>98</v>
      </c>
      <c r="B65" s="50"/>
      <c r="C65" s="50"/>
      <c r="D65" s="50"/>
      <c r="E65" s="62" t="n">
        <v>0</v>
      </c>
      <c r="F65" s="52" t="s">
        <v>99</v>
      </c>
      <c r="G65" s="52"/>
      <c r="H65" s="52"/>
      <c r="I65" s="52"/>
      <c r="J65" s="53" t="n">
        <f aca="false">$E$65</f>
        <v>0</v>
      </c>
    </row>
    <row r="66" customFormat="false" ht="15" hidden="false" customHeight="false" outlineLevel="0" collapsed="false">
      <c r="A66" s="67" t="s">
        <v>100</v>
      </c>
      <c r="B66" s="67"/>
      <c r="C66" s="67"/>
      <c r="D66" s="67"/>
      <c r="J66" s="68" t="n">
        <f aca="false">$J$58-SUM($J$62:$J$65)</f>
        <v>4048.6488200000003</v>
      </c>
    </row>
    <row r="67" customFormat="false" ht="15" hidden="false" customHeight="false" outlineLevel="0" collapsed="false">
      <c r="A67" s="48" t="s">
        <v>101</v>
      </c>
      <c r="B67" s="48"/>
      <c r="C67" s="48"/>
      <c r="D67" s="48"/>
      <c r="F67" s="8" t="str">
        <f aca="false">IF(ScaleChoice="Auto","auto → ","")&amp;ScaleUsed</f>
        <v>auto → 2 - Tax-free threshold claimed</v>
      </c>
      <c r="G67" s="8"/>
      <c r="H67" s="8"/>
      <c r="I67" s="8"/>
      <c r="J67" s="69" t="n">
        <f aca="false">PAYG_FN</f>
        <v>932</v>
      </c>
    </row>
    <row r="68" customFormat="false" ht="15" hidden="false" customHeight="false" outlineLevel="0" collapsed="false">
      <c r="A68" s="50" t="s">
        <v>102</v>
      </c>
      <c r="B68" s="50"/>
      <c r="C68" s="50"/>
      <c r="D68" s="50"/>
      <c r="E68" s="51"/>
      <c r="F68" s="52" t="str">
        <f aca="false">"auto · toggle = "&amp;STSLChoice</f>
        <v>auto · toggle = No</v>
      </c>
      <c r="G68" s="52"/>
      <c r="H68" s="52"/>
      <c r="I68" s="52"/>
      <c r="J68" s="70" t="n">
        <f aca="false">STSL_FN</f>
        <v>0</v>
      </c>
    </row>
    <row r="69" customFormat="false" ht="15" hidden="false" customHeight="false" outlineLevel="0" collapsed="false">
      <c r="A69" s="48" t="s">
        <v>103</v>
      </c>
      <c r="B69" s="48"/>
      <c r="C69" s="48"/>
      <c r="D69" s="48"/>
      <c r="E69" s="71" t="n">
        <f aca="false">IF($B$5="Casual",0,MemberDefault)</f>
        <v>0.05</v>
      </c>
      <c r="F69" s="8" t="str">
        <f aca="false">IF($E$62="No — after-tax","after-tax · auto: perm 5%, casual 0% — type a % to override","→ sacrificed pre-tax above · this rate still drives it")</f>
        <v>after-tax · auto: perm 5%, casual 0% — type a % to override</v>
      </c>
      <c r="G69" s="8"/>
      <c r="H69" s="8"/>
      <c r="I69" s="8"/>
      <c r="J69" s="49" t="n">
        <f aca="false">IF($E$62="No — after-tax",$E$69*($J$43+$F$32*HDRate+$D$32*BaseRate),0)</f>
        <v>142.5</v>
      </c>
    </row>
    <row r="70" customFormat="false" ht="15" hidden="false" customHeight="false" outlineLevel="0" collapsed="false">
      <c r="A70" s="50" t="s">
        <v>104</v>
      </c>
      <c r="B70" s="50"/>
      <c r="C70" s="50"/>
      <c r="D70" s="50"/>
      <c r="E70" s="62" t="n">
        <v>0</v>
      </c>
      <c r="F70" s="52" t="s">
        <v>105</v>
      </c>
      <c r="G70" s="52"/>
      <c r="H70" s="52"/>
      <c r="I70" s="52"/>
      <c r="J70" s="53" t="n">
        <f aca="false">$E$70</f>
        <v>0</v>
      </c>
    </row>
    <row r="71" customFormat="false" ht="15" hidden="false" customHeight="false" outlineLevel="0" collapsed="false">
      <c r="A71" s="50" t="inlineStr">
        <is>
          <t>Post-tax deduction 2</t>
        </is>
      </c>
      <c r="B71" s="50"/>
      <c r="C71" s="50"/>
      <c r="D71" s="50"/>
      <c r="E71" s="62" t="n">
        <v>0</v>
      </c>
      <c r="F71" s="52" t="inlineStr">
        <is>
          <t>e.g. bank or credit-union deduction</t>
        </is>
      </c>
      <c r="G71" s="52"/>
      <c r="H71" s="52"/>
      <c r="I71" s="52"/>
      <c r="J71" s="53" t="n">
        <f aca="false">$E$71</f>
        <v>0</v>
      </c>
    </row>
    <row r="72" customFormat="false" ht="19.5" hidden="false" customHeight="true" outlineLevel="0" collapsed="false">
      <c r="A72" s="5" t="s">
        <v>106</v>
      </c>
      <c r="B72" s="5"/>
      <c r="C72" s="5"/>
      <c r="D72" s="5"/>
      <c r="E72" s="5"/>
      <c r="F72" s="5"/>
      <c r="G72" s="5"/>
      <c r="H72" s="5"/>
      <c r="I72" s="5"/>
      <c r="J72" s="5"/>
    </row>
    <row r="73" customFormat="false" ht="15" hidden="false" customHeight="false" outlineLevel="0" collapsed="false">
      <c r="A73" s="48" t="s">
        <v>107</v>
      </c>
      <c r="B73" s="48"/>
      <c r="C73" s="48"/>
      <c r="D73" s="48"/>
      <c r="F73" s="8" t="str">
        <f aca="false">TEXT(EmpSuperRate,"0.00%")&amp;" of OTE — ordinary time + shift + allowances + paid leave"</f>
        <v>12.75% of OTE — ordinary time + shift + allowances + paid leave</v>
      </c>
      <c r="G73" s="8"/>
      <c r="H73" s="8"/>
      <c r="I73" s="8"/>
      <c r="J73" s="49" t="n">
        <f aca="false">EmpSuperRate*($J$43+$J$45+$J$48+$F$32*HDRate+$J$57-CustomAllow)</f>
        <v>516.2027245500001</v>
      </c>
    </row>
    <row r="74" customFormat="false" ht="15" hidden="false" customHeight="false" outlineLevel="0" collapsed="false">
      <c r="A74" s="50" t="s">
        <v>108</v>
      </c>
      <c r="B74" s="50"/>
      <c r="C74" s="50"/>
      <c r="D74" s="50"/>
      <c r="E74" s="51"/>
      <c r="F74" s="52" t="str">
        <f aca="false">IF($E$62="No — after-tax","pre-tax — voluntary","pre-tax — standard 5% + voluntary")</f>
        <v>pre-tax — voluntary</v>
      </c>
      <c r="G74" s="52"/>
      <c r="H74" s="52"/>
      <c r="I74" s="52"/>
      <c r="J74" s="53" t="n">
        <f aca="false">$J$62+$J$63</f>
        <v>0</v>
      </c>
    </row>
    <row r="75" customFormat="false" ht="15" hidden="false" customHeight="false" outlineLevel="0" collapsed="false">
      <c r="A75" s="48" t="s">
        <v>109</v>
      </c>
      <c r="B75" s="48"/>
      <c r="C75" s="48"/>
      <c r="D75" s="48"/>
      <c r="F75" s="8" t="str">
        <f aca="false">"after-tax"</f>
        <v>after-tax</v>
      </c>
      <c r="G75" s="8"/>
      <c r="H75" s="8"/>
      <c r="I75" s="8"/>
      <c r="J75" s="49" t="n">
        <f aca="false">$J$69</f>
        <v>142.5</v>
      </c>
    </row>
    <row r="76" customFormat="false" ht="15" hidden="false" customHeight="false" outlineLevel="0" collapsed="false">
      <c r="A76" s="67" t="s">
        <v>110</v>
      </c>
      <c r="B76" s="67"/>
      <c r="C76" s="67"/>
      <c r="D76" s="67"/>
      <c r="J76" s="68" t="n">
        <f aca="false">SUM(J73:J75)</f>
        <v>658.7027245500001</v>
      </c>
    </row>
    <row r="77" customFormat="false" ht="15" hidden="false" customHeight="false" outlineLevel="0" collapsed="false">
      <c r="A77" s="48" t="s">
        <v>111</v>
      </c>
      <c r="B77" s="48"/>
      <c r="C77" s="48"/>
      <c r="D77" s="48"/>
      <c r="F77" s="8" t="s">
        <v>112</v>
      </c>
      <c r="G77" s="8"/>
      <c r="H77" s="8"/>
      <c r="I77" s="8"/>
      <c r="J77" s="72" t="n">
        <f aca="false">($J$73+$J$74)*FnPerYear</f>
        <v>13421.270838300003</v>
      </c>
    </row>
    <row r="78" customFormat="false" ht="15" hidden="false" customHeight="false" outlineLevel="0" collapsed="false">
      <c r="A78" s="50" t="s">
        <v>113</v>
      </c>
      <c r="B78" s="50"/>
      <c r="C78" s="50"/>
      <c r="D78" s="50"/>
      <c r="E78" s="51"/>
      <c r="F78" s="52" t="s">
        <v>114</v>
      </c>
      <c r="G78" s="52"/>
      <c r="H78" s="52"/>
      <c r="I78" s="52"/>
      <c r="J78" s="73" t="n">
        <f aca="false">ConcCap</f>
        <v>32500</v>
      </c>
    </row>
    <row r="79" customFormat="false" ht="15" hidden="false" customHeight="false" outlineLevel="0" collapsed="false">
      <c r="A79" s="48" t="s">
        <v>115</v>
      </c>
      <c r="B79" s="48"/>
      <c r="C79" s="48"/>
      <c r="D79" s="48"/>
      <c r="F79" s="8" t="s">
        <v>116</v>
      </c>
      <c r="G79" s="8"/>
      <c r="H79" s="8"/>
      <c r="I79" s="8"/>
      <c r="J79" s="72" t="n">
        <f aca="false">$J$78-$J$77</f>
        <v>19078.729161699997</v>
      </c>
    </row>
    <row r="80" customFormat="false" ht="15" hidden="false" customHeight="false" outlineLevel="0" collapsed="false">
      <c r="A80" s="50" t="s">
        <v>117</v>
      </c>
      <c r="B80" s="50"/>
      <c r="C80" s="50"/>
      <c r="D80" s="50"/>
      <c r="E80" s="51"/>
      <c r="F80" s="52" t="s">
        <v>118</v>
      </c>
      <c r="G80" s="52"/>
      <c r="H80" s="52"/>
      <c r="I80" s="52"/>
      <c r="J80" s="74" t="n">
        <f aca="false">MAX(0,$J$79/FnPerYear)</f>
        <v>733.7972754499999</v>
      </c>
    </row>
    <row r="81" customFormat="false" ht="7.5" hidden="false" customHeight="true" outlineLevel="0" collapsed="false"/>
    <row r="82" customFormat="false" ht="19.5" hidden="false" customHeight="true" outlineLevel="0" collapsed="false">
      <c r="A82" s="5" t="s">
        <v>119</v>
      </c>
      <c r="B82" s="5"/>
      <c r="C82" s="5"/>
      <c r="D82" s="5"/>
      <c r="E82" s="5"/>
      <c r="F82" s="5"/>
      <c r="G82" s="5"/>
      <c r="H82" s="5"/>
      <c r="I82" s="5"/>
      <c r="J82" s="5"/>
    </row>
    <row r="83" customFormat="false" ht="15" hidden="false" customHeight="false" outlineLevel="0" collapsed="false">
      <c r="A83" s="75" t="s">
        <v>120</v>
      </c>
      <c r="B83" s="75"/>
      <c r="C83" s="75"/>
      <c r="D83" s="75"/>
      <c r="F83" s="76" t="s">
        <v>121</v>
      </c>
      <c r="G83" s="76"/>
      <c r="J83" s="76" t="s">
        <v>122</v>
      </c>
    </row>
    <row r="84" customFormat="false" ht="15" hidden="false" customHeight="false" outlineLevel="0" collapsed="false">
      <c r="A84" s="22" t="s">
        <v>123</v>
      </c>
      <c r="B84" s="22"/>
      <c r="C84" s="22"/>
      <c r="D84" s="22"/>
      <c r="F84" s="77" t="n">
        <f aca="false">IF($J$58=0,0,J84/$J$58)</f>
        <v>0.7346028149707488</v>
      </c>
      <c r="G84" s="77"/>
      <c r="J84" s="24" t="n">
        <f aca="false">NetBank</f>
        <v>2974.1488200000003</v>
      </c>
    </row>
    <row r="85" customFormat="false" ht="15" hidden="false" customHeight="false" outlineLevel="0" collapsed="false">
      <c r="A85" s="78" t="s">
        <v>124</v>
      </c>
      <c r="B85" s="78"/>
      <c r="C85" s="78"/>
      <c r="D85" s="78"/>
      <c r="E85" s="51"/>
      <c r="F85" s="79" t="n">
        <f aca="false">IF($J$58=0,0,J85/$J$58)</f>
        <v>0.23020025727990898</v>
      </c>
      <c r="G85" s="79"/>
      <c r="H85" s="51"/>
      <c r="I85" s="51"/>
      <c r="J85" s="80" t="n">
        <f aca="false">$J$67</f>
        <v>932</v>
      </c>
    </row>
    <row r="86" customFormat="false" ht="15" hidden="false" customHeight="false" outlineLevel="0" collapsed="false">
      <c r="A86" s="22" t="s">
        <v>125</v>
      </c>
      <c r="B86" s="22"/>
      <c r="C86" s="22"/>
      <c r="D86" s="22"/>
      <c r="F86" s="77" t="n">
        <f aca="false">IF($J$58=0,0,J86/$J$58)</f>
        <v>0</v>
      </c>
      <c r="G86" s="77"/>
      <c r="J86" s="24" t="n">
        <f aca="false">$J$68</f>
        <v>0</v>
      </c>
    </row>
    <row r="87" customFormat="false" ht="15" hidden="false" customHeight="false" outlineLevel="0" collapsed="false">
      <c r="A87" s="78" t="s">
        <v>126</v>
      </c>
      <c r="B87" s="78"/>
      <c r="C87" s="78"/>
      <c r="D87" s="78"/>
      <c r="E87" s="51"/>
      <c r="F87" s="79" t="n">
        <f aca="false">IF($J$58=0,0,J87/$J$58)</f>
        <v>0</v>
      </c>
      <c r="G87" s="79"/>
      <c r="H87" s="51"/>
      <c r="I87" s="51"/>
      <c r="J87" s="80" t="n">
        <f aca="false">$J$62+$J$63</f>
        <v>0</v>
      </c>
    </row>
    <row r="88" customFormat="false" ht="15" hidden="false" customHeight="false" outlineLevel="0" collapsed="false">
      <c r="A88" s="22" t="s">
        <v>127</v>
      </c>
      <c r="B88" s="22"/>
      <c r="C88" s="22"/>
      <c r="D88" s="22"/>
      <c r="F88" s="77" t="n">
        <f aca="false">IF($J$58=0,0,J88/$J$58)</f>
        <v>0.035196927749342306</v>
      </c>
      <c r="G88" s="77"/>
      <c r="J88" s="24" t="n">
        <f aca="false">$J$69</f>
        <v>142.5</v>
      </c>
    </row>
    <row r="89" customFormat="false" ht="15" hidden="false" customHeight="false" outlineLevel="0" collapsed="false">
      <c r="A89" s="78" t="s">
        <v>128</v>
      </c>
      <c r="B89" s="78"/>
      <c r="C89" s="78"/>
      <c r="D89" s="78"/>
      <c r="E89" s="51"/>
      <c r="F89" s="79" t="n">
        <f aca="false">IF($J$58=0,0,J89/$J$58)</f>
        <v>0</v>
      </c>
      <c r="G89" s="79"/>
      <c r="H89" s="51"/>
      <c r="I89" s="51"/>
      <c r="J89" s="80" t="n">
        <f aca="false">$J$64+$J$65+$J$70+$J$71</f>
        <v>0</v>
      </c>
    </row>
    <row r="90" customFormat="false" ht="7.5" hidden="false" customHeight="true" outlineLevel="0" collapsed="false"/>
    <row r="91" customFormat="false" ht="19.5" hidden="false" customHeight="true" outlineLevel="0" collapsed="false">
      <c r="A91" s="5" t="s">
        <v>129</v>
      </c>
      <c r="B91" s="5"/>
      <c r="C91" s="5"/>
      <c r="D91" s="5"/>
      <c r="E91" s="5"/>
      <c r="F91" s="5"/>
      <c r="G91" s="5"/>
      <c r="H91" s="5"/>
      <c r="I91" s="5"/>
      <c r="J91" s="5"/>
    </row>
    <row r="92" customFormat="false" ht="15" hidden="false" customHeight="false" outlineLevel="0" collapsed="false">
      <c r="A92" s="75" t="s">
        <v>130</v>
      </c>
      <c r="B92" s="75"/>
      <c r="C92" s="75"/>
      <c r="D92" s="76" t="s">
        <v>131</v>
      </c>
      <c r="E92" s="76"/>
      <c r="F92" s="76" t="s">
        <v>132</v>
      </c>
      <c r="G92" s="76"/>
      <c r="H92" s="76" t="s">
        <v>133</v>
      </c>
      <c r="I92" s="76"/>
      <c r="J92" s="81"/>
    </row>
    <row r="93" customFormat="false" ht="15" hidden="false" customHeight="false" outlineLevel="0" collapsed="false">
      <c r="A93" s="22" t="s">
        <v>134</v>
      </c>
      <c r="B93" s="22"/>
      <c r="C93" s="22"/>
      <c r="D93" s="62"/>
      <c r="E93" s="62"/>
      <c r="F93" s="24" t="n">
        <f aca="false">$J$58</f>
        <v>4048.6488200000003</v>
      </c>
      <c r="G93" s="24"/>
      <c r="H93" s="82" t="str">
        <f aca="false">IF($D93="","",$D93-$F93)</f>
        <v/>
      </c>
      <c r="I93" s="82"/>
      <c r="J93" s="83" t="str">
        <f aca="false">IF($D93="","",IF(ABS($D93-$F93)&lt;0.5,"✓ match","✖ check"))</f>
        <v/>
      </c>
    </row>
    <row r="94" customFormat="false" ht="15" hidden="false" customHeight="false" outlineLevel="0" collapsed="false">
      <c r="A94" s="78" t="s">
        <v>124</v>
      </c>
      <c r="B94" s="78"/>
      <c r="C94" s="78"/>
      <c r="D94" s="62"/>
      <c r="E94" s="62"/>
      <c r="F94" s="80" t="n">
        <f aca="false">$J$67</f>
        <v>932</v>
      </c>
      <c r="G94" s="80"/>
      <c r="H94" s="84" t="str">
        <f aca="false">IF($D94="","",$D94-$F94)</f>
        <v/>
      </c>
      <c r="I94" s="84"/>
      <c r="J94" s="85" t="str">
        <f aca="false">IF($D94="","",IF(ABS($D94-$F94)&lt;0.5,"✓ match","✖ check"))</f>
        <v/>
      </c>
    </row>
    <row r="95" customFormat="false" ht="15" hidden="false" customHeight="false" outlineLevel="0" collapsed="false">
      <c r="A95" s="22" t="s">
        <v>135</v>
      </c>
      <c r="B95" s="22"/>
      <c r="C95" s="22"/>
      <c r="D95" s="62"/>
      <c r="E95" s="62"/>
      <c r="F95" s="24" t="n">
        <f aca="false">NetBank</f>
        <v>2974.1488200000003</v>
      </c>
      <c r="G95" s="24"/>
      <c r="H95" s="82" t="str">
        <f aca="false">IF($D95="","",$D95-$F95)</f>
        <v/>
      </c>
      <c r="I95" s="82"/>
      <c r="J95" s="83" t="str">
        <f aca="false">IF($D95="","",IF(ABS($D95-$F95)&lt;0.5,"✓ match","✖ check"))</f>
        <v/>
      </c>
    </row>
    <row r="96" customFormat="false" ht="15" hidden="false" customHeight="false" outlineLevel="0" collapsed="false">
      <c r="A96" s="78" t="s">
        <v>136</v>
      </c>
      <c r="B96" s="78"/>
      <c r="C96" s="78"/>
      <c r="D96" s="62"/>
      <c r="E96" s="62"/>
      <c r="F96" s="80" t="n">
        <f aca="false">$J$73</f>
        <v>516.2027245500001</v>
      </c>
      <c r="G96" s="80"/>
      <c r="H96" s="84" t="str">
        <f aca="false">IF($D96="","",$D96-$F96)</f>
        <v/>
      </c>
      <c r="I96" s="84"/>
      <c r="J96" s="85" t="str">
        <f aca="false">IF($D96="","",IF(ABS($D96-$F96)&lt;0.5,"✓ match","✖ check"))</f>
        <v/>
      </c>
    </row>
    <row r="97" customFormat="false" ht="15" hidden="false" customHeight="false" outlineLevel="0" collapsed="false">
      <c r="A97" s="86" t="s">
        <v>137</v>
      </c>
      <c r="B97" s="86"/>
      <c r="C97" s="86"/>
      <c r="D97" s="86"/>
      <c r="E97" s="86"/>
      <c r="F97" s="86"/>
      <c r="G97" s="86"/>
      <c r="H97" s="86"/>
      <c r="I97" s="86"/>
      <c r="J97" s="86"/>
    </row>
    <row r="98" customFormat="false" ht="7.5" hidden="false" customHeight="true" outlineLevel="0" collapsed="false"/>
    <row r="99" customFormat="false" ht="15" hidden="false" customHeight="false" outlineLevel="0" collapsed="false">
      <c r="A99" s="87" t="s">
        <v>138</v>
      </c>
      <c r="B99" s="87"/>
      <c r="C99" s="87"/>
      <c r="D99" s="87"/>
      <c r="E99" s="87"/>
      <c r="F99" s="87"/>
      <c r="G99" s="87"/>
      <c r="H99" s="87"/>
      <c r="I99" s="87"/>
      <c r="J99" s="87"/>
    </row>
  </sheetData>
  <sheetProtection sheet="true" password="ec70" formatCells="false" sort="false" autoFilter="false"/>
  <mergeCells count="145">
    <mergeCell ref="A1:J1"/>
    <mergeCell ref="A2:J2"/>
    <mergeCell ref="A3:J3"/>
    <mergeCell ref="A4:J4"/>
    <mergeCell ref="B5:C5"/>
    <mergeCell ref="D5:J5"/>
    <mergeCell ref="E6:J6"/>
    <mergeCell ref="E7:J7"/>
    <mergeCell ref="B8:C8"/>
    <mergeCell ref="D8:J8"/>
    <mergeCell ref="B9:C9"/>
    <mergeCell ref="D9:J9"/>
    <mergeCell ref="B10:C10"/>
    <mergeCell ref="D10:J10"/>
    <mergeCell ref="B11:C11"/>
    <mergeCell ref="D11:J11"/>
    <mergeCell ref="B12:C12"/>
    <mergeCell ref="D12:J12"/>
    <mergeCell ref="B13:C13"/>
    <mergeCell ref="D13:J13"/>
    <mergeCell ref="C14:D14"/>
    <mergeCell ref="F14:J14"/>
    <mergeCell ref="B15:C15"/>
    <mergeCell ref="F15:J15"/>
    <mergeCell ref="A16:F16"/>
    <mergeCell ref="G16:J16"/>
    <mergeCell ref="A33:B33"/>
    <mergeCell ref="D33:E33"/>
    <mergeCell ref="F33:I33"/>
    <mergeCell ref="A34:J34"/>
    <mergeCell ref="A35:E36"/>
    <mergeCell ref="F35:J36"/>
    <mergeCell ref="A38:B38"/>
    <mergeCell ref="A39:B39"/>
    <mergeCell ref="A42:J42"/>
    <mergeCell ref="A43:D43"/>
    <mergeCell ref="F43:I43"/>
    <mergeCell ref="A44:D44"/>
    <mergeCell ref="F44:I44"/>
    <mergeCell ref="A45:D45"/>
    <mergeCell ref="F45:I45"/>
    <mergeCell ref="A46:D46"/>
    <mergeCell ref="F46:I46"/>
    <mergeCell ref="A47:D47"/>
    <mergeCell ref="F47:I47"/>
    <mergeCell ref="A48:D48"/>
    <mergeCell ref="F48:I48"/>
    <mergeCell ref="A49:D49"/>
    <mergeCell ref="A50:D50"/>
    <mergeCell ref="H50:I50"/>
    <mergeCell ref="A51:D51"/>
    <mergeCell ref="H51:I51"/>
    <mergeCell ref="A52:D52"/>
    <mergeCell ref="H52:I52"/>
    <mergeCell ref="A53:D53"/>
    <mergeCell ref="H53:I53"/>
    <mergeCell ref="A54:D54"/>
    <mergeCell ref="H54:I54"/>
    <mergeCell ref="A55:D55"/>
    <mergeCell ref="H55:I55"/>
    <mergeCell ref="B56:D56"/>
    <mergeCell ref="H56:I56"/>
    <mergeCell ref="A57:D57"/>
    <mergeCell ref="A58:H58"/>
    <mergeCell ref="A59:J59"/>
    <mergeCell ref="A60:D60"/>
    <mergeCell ref="E60:G60"/>
    <mergeCell ref="H60:J60"/>
    <mergeCell ref="A61:D61"/>
    <mergeCell ref="E61:G61"/>
    <mergeCell ref="H61:J61"/>
    <mergeCell ref="A62:D62"/>
    <mergeCell ref="E62:G62"/>
    <mergeCell ref="H62:I62"/>
    <mergeCell ref="A63:D63"/>
    <mergeCell ref="F63:I63"/>
    <mergeCell ref="A64:D64"/>
    <mergeCell ref="F64:I64"/>
    <mergeCell ref="A65:D65"/>
    <mergeCell ref="F65:I65"/>
    <mergeCell ref="A66:D66"/>
    <mergeCell ref="A67:D67"/>
    <mergeCell ref="F67:I67"/>
    <mergeCell ref="A68:D68"/>
    <mergeCell ref="F68:I68"/>
    <mergeCell ref="A69:D69"/>
    <mergeCell ref="F69:I69"/>
    <mergeCell ref="A70:D70"/>
    <mergeCell ref="A71:D71"/>
    <mergeCell ref="F70:I70"/>
    <mergeCell ref="F71:I71"/>
    <mergeCell ref="A72:J72"/>
    <mergeCell ref="A73:D73"/>
    <mergeCell ref="F73:I73"/>
    <mergeCell ref="A74:D74"/>
    <mergeCell ref="F74:I74"/>
    <mergeCell ref="A75:D75"/>
    <mergeCell ref="F75:I75"/>
    <mergeCell ref="A76:D76"/>
    <mergeCell ref="A77:D77"/>
    <mergeCell ref="F77:I77"/>
    <mergeCell ref="A78:D78"/>
    <mergeCell ref="F78:I78"/>
    <mergeCell ref="A79:D79"/>
    <mergeCell ref="F79:I79"/>
    <mergeCell ref="A80:D80"/>
    <mergeCell ref="F80:I80"/>
    <mergeCell ref="A82:J82"/>
    <mergeCell ref="A83:D83"/>
    <mergeCell ref="F83:G83"/>
    <mergeCell ref="A84:D84"/>
    <mergeCell ref="F84:G84"/>
    <mergeCell ref="A85:D85"/>
    <mergeCell ref="F85:G85"/>
    <mergeCell ref="A86:D86"/>
    <mergeCell ref="F86:G86"/>
    <mergeCell ref="A87:D87"/>
    <mergeCell ref="F87:G87"/>
    <mergeCell ref="A88:D88"/>
    <mergeCell ref="F88:G88"/>
    <mergeCell ref="A89:D89"/>
    <mergeCell ref="F89:G89"/>
    <mergeCell ref="A91:J91"/>
    <mergeCell ref="A92:C92"/>
    <mergeCell ref="D92:E92"/>
    <mergeCell ref="F92:G92"/>
    <mergeCell ref="H92:I92"/>
    <mergeCell ref="A93:C93"/>
    <mergeCell ref="D93:E93"/>
    <mergeCell ref="F93:G93"/>
    <mergeCell ref="H93:I93"/>
    <mergeCell ref="A94:C94"/>
    <mergeCell ref="D94:E94"/>
    <mergeCell ref="F94:G94"/>
    <mergeCell ref="H94:I94"/>
    <mergeCell ref="A95:C95"/>
    <mergeCell ref="D95:E95"/>
    <mergeCell ref="F95:G95"/>
    <mergeCell ref="H95:I95"/>
    <mergeCell ref="A96:C96"/>
    <mergeCell ref="D96:E96"/>
    <mergeCell ref="F96:G96"/>
    <mergeCell ref="H96:I96"/>
    <mergeCell ref="A97:J97"/>
    <mergeCell ref="A99:J99"/>
  </mergeCells>
  <conditionalFormatting sqref="A3">
    <cfRule type="expression" priority="2" aboveAverage="0" equalAverage="0" bottom="0" percent="0" rank="0" text="" dxfId="0">
      <formula>LEN($A$3)&gt;0</formula>
    </cfRule>
  </conditionalFormatting>
  <conditionalFormatting sqref="J93:J96">
    <cfRule type="cellIs" priority="3" operator="equal" aboveAverage="0" equalAverage="0" bottom="0" percent="0" rank="0" text="" dxfId="1">
      <formula>"✓ match"</formula>
    </cfRule>
    <cfRule type="cellIs" priority="4" operator="equal" aboveAverage="0" equalAverage="0" bottom="0" percent="0" rank="0" text="" dxfId="2">
      <formula>"✖ check"</formula>
    </cfRule>
  </conditionalFormatting>
  <conditionalFormatting sqref="J18:J31">
    <cfRule type="dataBar" priority="5">
      <dataBar showValue="1" minLength="10" maxLength="90">
        <cfvo type="num" val="0"/>
        <cfvo type="max" val="0"/>
        <color rgb="FF0E8388"/>
      </dataBar>
      <extLst>
        <ext xmlns:x14="http://schemas.microsoft.com/office/spreadsheetml/2009/9/main" uri="{B025F937-C7B1-47D3-B67F-A62EFF666E3E}">
          <x14:id>{B67415F0-E4FB-4C87-9D6D-1FD145D97561}</x14:id>
        </ext>
      </extLst>
    </cfRule>
  </conditionalFormatting>
  <conditionalFormatting sqref="F84:F89">
    <cfRule type="dataBar" priority="6">
      <dataBar showValue="1" minLength="10" maxLength="90">
        <cfvo type="num" val="0"/>
        <cfvo type="num" val="1"/>
        <color rgb="FFF4B41A"/>
      </dataBar>
      <extLst>
        <ext xmlns:x14="http://schemas.microsoft.com/office/spreadsheetml/2009/9/main" uri="{B025F937-C7B1-47D3-B67F-A62EFF666E3E}">
          <x14:id>{177AF855-1381-44BF-88E7-FA96A04ADCD3}</x14:id>
        </ext>
      </extLst>
    </cfRule>
  </conditionalFormatting>
  <conditionalFormatting sqref="J79">
    <cfRule type="cellIs" priority="7" operator="lessThan" aboveAverage="0" equalAverage="0" bottom="0" percent="0" rank="0" text="" dxfId="3">
      <formula>0</formula>
    </cfRule>
  </conditionalFormatting>
  <dataValidations count="18">
    <dataValidation allowBlank="true" errorStyle="stop" operator="between" prompt="Sets the rate column (casual = +25%) and the auto rules: casuals get no TSV allowance and 0% member super." promptTitle="Employment type" showDropDown="false" showErrorMessage="false" showInputMessage="true" sqref="B5" type="list">
      <formula1>"Permanent,Casual"</formula1>
      <formula2>0</formula2>
    </dataValidation>
    <dataValidation allowBlank="true" errorStyle="stop" operator="between" prompt="Pick your level and paypoint. Pick Custom to type your own hourly rate in the teal box to the right." promptTitle="Classification" showDropDown="false" showErrorMessage="false" showInputMessage="true" sqref="B6" type="list">
      <formula1>"L3-1,L3-2,L3-3,L3-4,L3-Q,L4-1,L4-2,L4-3,L4-4,L4-Q,L5-1,L5-2,L5-3,L5-4,L5-Q,L6-1,L6-2,L6-3,L6-Q,Custom"</formula1>
      <formula2>0</formula2>
    </dataValidation>
    <dataValidation allowBlank="true" errorStyle="stop" operator="between" prompt="Auto follows your classification: L3/L4 act into L5-1, L5 into L6-1 (award cl 12.7). Pick a level or None to override. HD hours go in columns F-I of the timesheet." promptTitle="Higher duties" showDropDown="false" showErrorMessage="false" showInputMessage="true" sqref="B7" type="list">
      <formula1>"Auto,None,Custom,L5-1,L5-2,L5-3,L5-4,L6-1,L6-2,L6-3"</formula1>
      <formula2>0</formula2>
    </dataValidation>
    <dataValidation allowBlank="true" errorStyle="stop" operator="between" showDropDown="false" showErrorMessage="false" showInputMessage="false" sqref="B8" type="list">
      <formula1>"Auto,OO3-OO5 (26.96%),OO6 (27.46%),None"</formula1>
      <formula2>0</formula2>
    </dataValidation>
    <dataValidation allowBlank="true" errorStyle="stop" operator="between" showDropDown="false" showErrorMessage="false" showInputMessage="false" sqref="B9" type="list">
      <formula1>"Auto,OO3-OO5 (26.96%),OO6 (27.46%),None"</formula1>
      <formula2>0</formula2>
    </dataValidation>
    <dataValidation allowBlank="true" errorStyle="stop" operator="between" showDropDown="false" showErrorMessage="false" showInputMessage="false" sqref="B10" type="list">
      <formula1>"None,Half rate,Full rate"</formula1>
      <formula2>0</formula2>
    </dataValidation>
    <dataValidation allowBlank="true" errorStyle="stop" operator="greaterThanOrEqual" prompt="Type a lump of ordinary hours (76 = a standard permanent fortnight) instead of filling the day grid. Overtime, penalties and leave still go in the grid/profile. Any ordinary day-cell entry overrides this box." promptTitle="Quick-fill ordinary hours" showDropDown="false" showErrorMessage="false" showInputMessage="true" sqref="C33" type="decimal">
      <formula1>0</formula1>
      <formula2>0</formula2>
    </dataValidation>
    <dataValidation allowBlank="true" errorStyle="stop" operator="greaterThanOrEqual" prompt="Any extra taxable amount for this fortnight not covered above — e.g. a secondee travel/meal allowance, or a taxable one-off. Added to gross and taxed as wages; excluded from the super base (not OTE). A genuine tax-free reimbursement does not belong here — leave it out." promptTitle="Other taxable earnings" showDropDown="false" showErrorMessage="false" showInputMessage="true" sqref="F56" type="decimal">
      <formula1>0</formula1>
      <formula2>0</formula2>
    </dataValidation>
    <dataValidation allowBlank="true" errorStyle="stop" operator="greaterThanOrEqual" prompt="Type your own hourly rate here after picking Custom in the menu on the left." promptTitle="Custom hourly rate" showDropDown="false" showErrorMessage="false" showInputMessage="true" sqref="D6:D7" type="decimal">
      <formula1>0</formula1>
      <formula2>0</formula2>
    </dataValidation>
    <dataValidation allowBlank="true" errorStyle="stop" operator="between" prompt="Yes after 2 years' continuous service (EBA cl 2.12). $45/fn pro-rata on ordinary hours." promptTitle="Retention allowance" showDropDown="false" showErrorMessage="false" showInputMessage="true" sqref="B11" type="list">
      <formula1>"Yes,No"</formula1>
      <formula2>0</formula2>
    </dataValidation>
    <dataValidation allowBlank="true" errorStyle="stop" operator="between" prompt="Nights you were in charge of shift (OPS1 on nights). $16.39 per night, award cl 13.2." promptTitle="In-charge nights" showDropDown="false" showErrorMessage="false" showInputMessage="true" sqref="B13" type="list">
      <formula1>"1,2,3,4,5,6,7,8,9,10,11,12,13,14"</formula1>
      <formula2>0</formula2>
    </dataValidation>
    <dataValidation allowBlank="true" errorStyle="stop" operator="between" prompt="How many public holidays fell on your rostered days off this fortnight. Each pays an extra 7.6 hrs at base (award cl 23.4). Permanent staff only." promptTitle="Public holiday on an RDO" showDropDown="false" showErrorMessage="false" showInputMessage="true" sqref="B15" type="list">
      <formula1>"1,2,3,4,5,6"</formula1>
      <formula2>0</formula2>
    </dataValidation>
    <dataValidation allowBlank="true" errorStyle="stop" operator="between" showDropDown="false" showErrorMessage="false" showInputMessage="false" sqref="E60" type="list">
      <formula1>"Auto,1 - No tax-free threshold,2 - Tax-free threshold claimed,3 - Foreign resident,5 - Full Medicare levy exemption,6 - Half Medicare levy exemption"</formula1>
      <formula2>0</formula2>
    </dataValidation>
    <dataValidation allowBlank="true" errorStyle="stop" operator="between" showDropDown="false" showErrorMessage="false" showInputMessage="false" sqref="E61" type="list">
      <formula1>"Yes,No"</formula1>
      <formula2>0</formula2>
    </dataValidation>
    <dataValidation allowBlank="true" errorStyle="stop" operator="between" prompt="Yes runs your member % through pre-tax pay (RemServ). Payroll does not gross it up — the full typed percentage is what lands. If you were quoted a grossed-up figure like 5.88 (5 ÷ 0.85), type that instead. More take-home, same super." promptTitle="Package the standard 5%?" showDropDown="false" showErrorMessage="false" showInputMessage="true" sqref="E62" type="list">
      <formula1>"No — after-tax,Yes — pre-tax"</formula1>
      <formula2>0</formula2>
    </dataValidation>
    <dataValidation allowBlank="true" errorStyle="stop" operator="greaterThanOrEqual" prompt="Hours of paid leave this fortnight, then pick the type in the next box. Pays base rate; allowances follow the leave type." promptTitle="Paid leave hours" showDropDown="false" showErrorMessage="false" showInputMessage="true" sqref="B14" type="decimal">
      <formula1>0</formula1>
      <formula2>0</formula2>
    </dataValidation>
    <dataValidation allowBlank="true" errorStyle="stop" operator="between" prompt="Pays base rate. Which allowances keep paying depends on the leave type — the Pay Guide tab has the full breakdown." promptTitle="Leave type" showDropDown="false" showErrorMessage="false" showInputMessage="true" sqref="C14" type="list">
      <formula1>"No leave,Sick / carer's,Annual / recreation,Long service,Special"</formula1>
      <formula2>0</formula2>
    </dataValidation>
    <dataValidation allowBlank="true" error="That's more than 24 hours in a day — sure?" errorStyle="warning" errorTitle="Check hours" operator="between" showDropDown="false" showErrorMessage="false" showInputMessage="false" sqref="B18:I31"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2"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B67415F0-E4FB-4C87-9D6D-1FD145D97561}">
            <x14:dataBar minLength="10" maxLength="90" axisPosition="none" gradient="true">
              <x14:cfvo type="num">
                <xm:f>0</xm:f>
              </x14:cfvo>
              <x14:cfvo type="max"/>
              <x14:negativeFillColor rgb="FF0E8388"/>
              <x14:axisColor rgb="FF000000"/>
            </x14:dataBar>
          </x14:cfRule>
          <xm:sqref>J18:J31</xm:sqref>
        </x14:conditionalFormatting>
        <x14:conditionalFormatting xmlns:xm="http://schemas.microsoft.com/office/excel/2006/main">
          <x14:cfRule type="dataBar" id="{177AF855-1381-44BF-88E7-FA96A04ADCD3}">
            <x14:dataBar minLength="10" maxLength="90" axisPosition="none" gradient="true">
              <x14:cfvo type="num">
                <xm:f>0</xm:f>
              </x14:cfvo>
              <x14:cfvo type="num">
                <xm:f>1</xm:f>
              </x14:cfvo>
              <x14:negativeFillColor rgb="FFF4B41A"/>
              <x14:axisColor rgb="FF000000"/>
            </x14:dataBar>
          </x14:cfRule>
          <xm:sqref>F84:F89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30"/>
    <col collapsed="false" customWidth="true" hidden="false" outlineLevel="0" max="10" min="2" style="1" width="13"/>
  </cols>
  <sheetData>
    <row r="1" customFormat="false" ht="25.5" hidden="false" customHeight="true" outlineLevel="0" collapsed="false">
      <c r="A1" s="2" t="s">
        <v>139</v>
      </c>
      <c r="B1" s="2"/>
      <c r="C1" s="2"/>
      <c r="D1" s="2"/>
      <c r="E1" s="2"/>
      <c r="F1" s="2"/>
      <c r="G1" s="2"/>
      <c r="H1" s="2"/>
      <c r="I1" s="2"/>
      <c r="J1" s="2"/>
    </row>
    <row r="2" customFormat="false" ht="15" hidden="false" customHeight="true" outlineLevel="0" collapsed="false">
      <c r="A2" s="3" t="s">
        <v>140</v>
      </c>
      <c r="B2" s="3"/>
      <c r="C2" s="3"/>
      <c r="D2" s="3"/>
      <c r="E2" s="3"/>
      <c r="F2" s="3"/>
      <c r="G2" s="3"/>
      <c r="H2" s="3"/>
      <c r="I2" s="3"/>
      <c r="J2" s="3"/>
    </row>
    <row r="4" customFormat="false" ht="19.5" hidden="false" customHeight="true" outlineLevel="0" collapsed="false">
      <c r="A4" s="5" t="s">
        <v>141</v>
      </c>
      <c r="B4" s="5"/>
      <c r="C4" s="5"/>
      <c r="D4" s="5"/>
      <c r="E4" s="5"/>
      <c r="F4" s="5"/>
      <c r="G4" s="5"/>
      <c r="H4" s="5"/>
      <c r="I4" s="5"/>
      <c r="J4" s="5"/>
    </row>
    <row r="5" customFormat="false" ht="30" hidden="false" customHeight="true" outlineLevel="0" collapsed="false">
      <c r="A5" s="88" t="s">
        <v>142</v>
      </c>
      <c r="B5" s="89" t="s">
        <v>143</v>
      </c>
      <c r="C5" s="89"/>
      <c r="D5" s="89"/>
      <c r="E5" s="89"/>
      <c r="F5" s="89"/>
      <c r="G5" s="89"/>
      <c r="H5" s="89"/>
      <c r="I5" s="89"/>
      <c r="J5" s="89"/>
    </row>
    <row r="6" customFormat="false" ht="43.5" hidden="false" customHeight="true" outlineLevel="0" collapsed="false">
      <c r="A6" s="88" t="s">
        <v>84</v>
      </c>
      <c r="B6" s="89" t="s">
        <v>144</v>
      </c>
      <c r="C6" s="89"/>
      <c r="D6" s="89"/>
      <c r="E6" s="89"/>
      <c r="F6" s="89"/>
      <c r="G6" s="89"/>
      <c r="H6" s="89"/>
      <c r="I6" s="89"/>
      <c r="J6" s="89"/>
    </row>
    <row r="7" customFormat="false" ht="30" hidden="false" customHeight="true" outlineLevel="0" collapsed="false">
      <c r="A7" s="88" t="s">
        <v>145</v>
      </c>
      <c r="B7" s="89" t="s">
        <v>146</v>
      </c>
      <c r="C7" s="89"/>
      <c r="D7" s="89"/>
      <c r="E7" s="89"/>
      <c r="F7" s="89"/>
      <c r="G7" s="89"/>
      <c r="H7" s="89"/>
      <c r="I7" s="89"/>
      <c r="J7" s="89"/>
    </row>
    <row r="8" customFormat="false" ht="30" hidden="false" customHeight="true" outlineLevel="0" collapsed="false">
      <c r="A8" s="88" t="s">
        <v>147</v>
      </c>
      <c r="B8" s="89" t="s">
        <v>148</v>
      </c>
      <c r="C8" s="89"/>
      <c r="D8" s="89"/>
      <c r="E8" s="89"/>
      <c r="F8" s="89"/>
      <c r="G8" s="89"/>
      <c r="H8" s="89"/>
      <c r="I8" s="89"/>
      <c r="J8" s="89"/>
    </row>
    <row r="9" customFormat="false" ht="43.5" hidden="false" customHeight="true" outlineLevel="0" collapsed="false">
      <c r="A9" s="88" t="s">
        <v>149</v>
      </c>
      <c r="B9" s="89" t="s">
        <v>150</v>
      </c>
      <c r="C9" s="89"/>
      <c r="D9" s="89"/>
      <c r="E9" s="89"/>
      <c r="F9" s="89"/>
      <c r="G9" s="89"/>
      <c r="H9" s="89"/>
      <c r="I9" s="89"/>
      <c r="J9" s="89"/>
    </row>
    <row r="10" customFormat="false" ht="7.5" hidden="false" customHeight="true" outlineLevel="0" collapsed="false"/>
    <row r="11" customFormat="false" ht="19.5" hidden="false" customHeight="true" outlineLevel="0" collapsed="false">
      <c r="A11" s="5" t="s">
        <v>151</v>
      </c>
      <c r="B11" s="5"/>
      <c r="C11" s="5"/>
      <c r="D11" s="5"/>
      <c r="E11" s="5"/>
      <c r="F11" s="5"/>
      <c r="G11" s="5"/>
      <c r="H11" s="5"/>
      <c r="I11" s="5"/>
      <c r="J11" s="5"/>
    </row>
    <row r="12" customFormat="false" ht="43.5" hidden="false" customHeight="true" outlineLevel="0" collapsed="false">
      <c r="A12" s="88" t="s">
        <v>152</v>
      </c>
      <c r="B12" s="89" t="s">
        <v>153</v>
      </c>
      <c r="C12" s="89"/>
      <c r="D12" s="89"/>
      <c r="E12" s="89"/>
      <c r="F12" s="89"/>
      <c r="G12" s="89"/>
      <c r="H12" s="89"/>
      <c r="I12" s="89"/>
      <c r="J12" s="89"/>
    </row>
    <row r="13" customFormat="false" ht="43.5" hidden="false" customHeight="true" outlineLevel="0" collapsed="false">
      <c r="A13" s="88" t="s">
        <v>154</v>
      </c>
      <c r="B13" s="89" t="s">
        <v>155</v>
      </c>
      <c r="C13" s="89"/>
      <c r="D13" s="89"/>
      <c r="E13" s="89"/>
      <c r="F13" s="89"/>
      <c r="G13" s="89"/>
      <c r="H13" s="89"/>
      <c r="I13" s="89"/>
      <c r="J13" s="89"/>
    </row>
    <row r="14" customFormat="false" ht="30" hidden="false" customHeight="true" outlineLevel="0" collapsed="false">
      <c r="A14" s="88" t="s">
        <v>156</v>
      </c>
      <c r="B14" s="89" t="s">
        <v>157</v>
      </c>
      <c r="C14" s="89"/>
      <c r="D14" s="89"/>
      <c r="E14" s="89"/>
      <c r="F14" s="89"/>
      <c r="G14" s="89"/>
      <c r="H14" s="89"/>
      <c r="I14" s="89"/>
      <c r="J14" s="89"/>
    </row>
    <row r="15" customFormat="false" ht="43.5" hidden="false" customHeight="true" outlineLevel="0" collapsed="false">
      <c r="A15" s="88" t="s">
        <v>158</v>
      </c>
      <c r="B15" s="89" t="s">
        <v>159</v>
      </c>
      <c r="C15" s="89"/>
      <c r="D15" s="89"/>
      <c r="E15" s="89"/>
      <c r="F15" s="89"/>
      <c r="G15" s="89"/>
      <c r="H15" s="89"/>
      <c r="I15" s="89"/>
      <c r="J15" s="89"/>
    </row>
    <row r="16" customFormat="false" ht="30" hidden="false" customHeight="true" outlineLevel="0" collapsed="false">
      <c r="A16" s="88" t="s">
        <v>160</v>
      </c>
      <c r="B16" s="89" t="s">
        <v>161</v>
      </c>
      <c r="C16" s="89"/>
      <c r="D16" s="89"/>
      <c r="E16" s="89"/>
      <c r="F16" s="89"/>
      <c r="G16" s="89"/>
      <c r="H16" s="89"/>
      <c r="I16" s="89"/>
      <c r="J16" s="89"/>
    </row>
    <row r="17" customFormat="false" ht="30" hidden="false" customHeight="true" outlineLevel="0" collapsed="false">
      <c r="A17" s="88" t="s">
        <v>162</v>
      </c>
      <c r="B17" s="89" t="s">
        <v>163</v>
      </c>
      <c r="C17" s="89"/>
      <c r="D17" s="89"/>
      <c r="E17" s="89"/>
      <c r="F17" s="89"/>
      <c r="G17" s="89"/>
      <c r="H17" s="89"/>
      <c r="I17" s="89"/>
      <c r="J17" s="89"/>
    </row>
    <row r="18" customFormat="false" ht="30" hidden="false" customHeight="true" outlineLevel="0" collapsed="false">
      <c r="A18" s="88" t="s">
        <v>164</v>
      </c>
      <c r="B18" s="89" t="s">
        <v>165</v>
      </c>
      <c r="C18" s="89"/>
      <c r="D18" s="89"/>
      <c r="E18" s="89"/>
      <c r="F18" s="89"/>
      <c r="G18" s="89"/>
      <c r="H18" s="89"/>
      <c r="I18" s="89"/>
      <c r="J18" s="89"/>
    </row>
    <row r="19" customFormat="false" ht="43.5" hidden="false" customHeight="true" outlineLevel="0" collapsed="false">
      <c r="A19" s="88" t="s">
        <v>166</v>
      </c>
      <c r="B19" s="89" t="s">
        <v>167</v>
      </c>
      <c r="C19" s="89"/>
      <c r="D19" s="89"/>
      <c r="E19" s="89"/>
      <c r="F19" s="89"/>
      <c r="G19" s="89"/>
      <c r="H19" s="89"/>
      <c r="I19" s="89"/>
      <c r="J19" s="89"/>
    </row>
    <row r="20" customFormat="false" ht="7.5" hidden="false" customHeight="true" outlineLevel="0" collapsed="false"/>
    <row r="21" customFormat="false" ht="19.5" hidden="false" customHeight="true" outlineLevel="0" collapsed="false">
      <c r="A21" s="5" t="s">
        <v>168</v>
      </c>
      <c r="B21" s="5"/>
      <c r="C21" s="5"/>
      <c r="D21" s="5"/>
      <c r="E21" s="5"/>
      <c r="F21" s="5"/>
      <c r="G21" s="5"/>
      <c r="H21" s="5"/>
      <c r="I21" s="5"/>
      <c r="J21" s="5"/>
    </row>
    <row r="22" customFormat="false" ht="15.75" hidden="false" customHeight="true" outlineLevel="0" collapsed="false">
      <c r="A22" s="88" t="s">
        <v>69</v>
      </c>
      <c r="B22" s="89" t="s">
        <v>169</v>
      </c>
      <c r="C22" s="89"/>
      <c r="D22" s="89"/>
      <c r="E22" s="89"/>
      <c r="F22" s="89"/>
      <c r="G22" s="89"/>
      <c r="H22" s="89"/>
      <c r="I22" s="89"/>
      <c r="J22" s="89"/>
    </row>
    <row r="23" customFormat="false" ht="43.5" hidden="false" customHeight="true" outlineLevel="0" collapsed="false">
      <c r="A23" s="88" t="s">
        <v>170</v>
      </c>
      <c r="B23" s="89" t="s">
        <v>171</v>
      </c>
      <c r="C23" s="89"/>
      <c r="D23" s="89"/>
      <c r="E23" s="89"/>
      <c r="F23" s="89"/>
      <c r="G23" s="89"/>
      <c r="H23" s="89"/>
      <c r="I23" s="89"/>
      <c r="J23" s="89"/>
    </row>
    <row r="24" customFormat="false" ht="15.75" hidden="false" customHeight="true" outlineLevel="0" collapsed="false">
      <c r="A24" s="88" t="s">
        <v>71</v>
      </c>
      <c r="B24" s="89" t="s">
        <v>172</v>
      </c>
      <c r="C24" s="89"/>
      <c r="D24" s="89"/>
      <c r="E24" s="89"/>
      <c r="F24" s="89"/>
      <c r="G24" s="89"/>
      <c r="H24" s="89"/>
      <c r="I24" s="89"/>
      <c r="J24" s="89"/>
    </row>
    <row r="25" customFormat="false" ht="43.5" hidden="false" customHeight="true" outlineLevel="0" collapsed="false">
      <c r="A25" s="88" t="s">
        <v>9</v>
      </c>
      <c r="B25" s="89" t="s">
        <v>173</v>
      </c>
      <c r="C25" s="89"/>
      <c r="D25" s="89"/>
      <c r="E25" s="89"/>
      <c r="F25" s="89"/>
      <c r="G25" s="89"/>
      <c r="H25" s="89"/>
      <c r="I25" s="89"/>
      <c r="J25" s="89"/>
    </row>
    <row r="26" customFormat="false" ht="43.5" hidden="false" customHeight="true" outlineLevel="0" collapsed="false">
      <c r="A26" s="88" t="s">
        <v>174</v>
      </c>
      <c r="B26" s="89" t="s">
        <v>175</v>
      </c>
      <c r="C26" s="89"/>
      <c r="D26" s="89"/>
      <c r="E26" s="89"/>
      <c r="F26" s="89"/>
      <c r="G26" s="89"/>
      <c r="H26" s="89"/>
      <c r="I26" s="89"/>
      <c r="J26" s="89"/>
    </row>
    <row r="27" customFormat="false" ht="30" hidden="false" customHeight="true" outlineLevel="0" collapsed="false">
      <c r="A27" s="88" t="s">
        <v>176</v>
      </c>
      <c r="B27" s="89" t="s">
        <v>177</v>
      </c>
      <c r="C27" s="89"/>
      <c r="D27" s="89"/>
      <c r="E27" s="89"/>
      <c r="F27" s="89"/>
      <c r="G27" s="89"/>
      <c r="H27" s="89"/>
      <c r="I27" s="89"/>
      <c r="J27" s="89"/>
    </row>
    <row r="28" customFormat="false" ht="30" hidden="false" customHeight="true" outlineLevel="0" collapsed="false">
      <c r="A28" s="88" t="s">
        <v>178</v>
      </c>
      <c r="B28" s="89" t="s">
        <v>179</v>
      </c>
      <c r="C28" s="89"/>
      <c r="D28" s="89"/>
      <c r="E28" s="89"/>
      <c r="F28" s="89"/>
      <c r="G28" s="89"/>
      <c r="H28" s="89"/>
      <c r="I28" s="89"/>
      <c r="J28" s="89"/>
    </row>
    <row r="29" customFormat="false" ht="7.5" hidden="false" customHeight="true" outlineLevel="0" collapsed="false"/>
    <row r="30" customFormat="false" ht="19.5" hidden="false" customHeight="true" outlineLevel="0" collapsed="false">
      <c r="A30" s="5" t="s">
        <v>180</v>
      </c>
      <c r="B30" s="5"/>
      <c r="C30" s="5"/>
      <c r="D30" s="5"/>
      <c r="E30" s="5"/>
      <c r="F30" s="5"/>
      <c r="G30" s="5"/>
      <c r="H30" s="5"/>
      <c r="I30" s="5"/>
      <c r="J30" s="5"/>
    </row>
    <row r="31" customFormat="false" ht="43.5" hidden="false" customHeight="true" outlineLevel="0" collapsed="false">
      <c r="A31" s="88" t="s">
        <v>181</v>
      </c>
      <c r="B31" s="89" t="s">
        <v>182</v>
      </c>
      <c r="C31" s="89"/>
      <c r="D31" s="89"/>
      <c r="E31" s="89"/>
      <c r="F31" s="89"/>
      <c r="G31" s="89"/>
      <c r="H31" s="89"/>
      <c r="I31" s="89"/>
      <c r="J31" s="89"/>
    </row>
    <row r="32" customFormat="false" ht="43.5" hidden="false" customHeight="true" outlineLevel="0" collapsed="false">
      <c r="A32" s="88" t="s">
        <v>183</v>
      </c>
      <c r="B32" s="89" t="s">
        <v>184</v>
      </c>
      <c r="C32" s="89"/>
      <c r="D32" s="89"/>
      <c r="E32" s="89"/>
      <c r="F32" s="89"/>
      <c r="G32" s="89"/>
      <c r="H32" s="89"/>
      <c r="I32" s="89"/>
      <c r="J32" s="89"/>
    </row>
    <row r="33" customFormat="false" ht="43.5" hidden="false" customHeight="true" outlineLevel="0" collapsed="false">
      <c r="A33" s="88" t="s">
        <v>185</v>
      </c>
      <c r="B33" s="89" t="s">
        <v>186</v>
      </c>
      <c r="C33" s="89"/>
      <c r="D33" s="89"/>
      <c r="E33" s="89"/>
      <c r="F33" s="89"/>
      <c r="G33" s="89"/>
      <c r="H33" s="89"/>
      <c r="I33" s="89"/>
      <c r="J33" s="89"/>
    </row>
    <row r="34" customFormat="false" ht="15.75" hidden="false" customHeight="true" outlineLevel="0" collapsed="false">
      <c r="A34" s="88" t="s">
        <v>187</v>
      </c>
      <c r="B34" s="89" t="s">
        <v>188</v>
      </c>
      <c r="C34" s="89"/>
      <c r="D34" s="89"/>
      <c r="E34" s="89"/>
      <c r="F34" s="89"/>
      <c r="G34" s="89"/>
      <c r="H34" s="89"/>
      <c r="I34" s="89"/>
      <c r="J34" s="89"/>
    </row>
    <row r="35" customFormat="false" ht="30" hidden="false" customHeight="true" outlineLevel="0" collapsed="false">
      <c r="A35" s="88" t="s">
        <v>189</v>
      </c>
      <c r="B35" s="89" t="s">
        <v>190</v>
      </c>
      <c r="C35" s="89"/>
      <c r="D35" s="89"/>
      <c r="E35" s="89"/>
      <c r="F35" s="89"/>
      <c r="G35" s="89"/>
      <c r="H35" s="89"/>
      <c r="I35" s="89"/>
      <c r="J35" s="89"/>
    </row>
    <row r="36" customFormat="false" ht="7.5" hidden="false" customHeight="true" outlineLevel="0" collapsed="false"/>
    <row r="37" customFormat="false" ht="19.5" hidden="false" customHeight="true" outlineLevel="0" collapsed="false">
      <c r="A37" s="5" t="s">
        <v>191</v>
      </c>
      <c r="B37" s="5"/>
      <c r="C37" s="5"/>
      <c r="D37" s="5"/>
      <c r="E37" s="5"/>
      <c r="F37" s="5"/>
      <c r="G37" s="5"/>
      <c r="H37" s="5"/>
      <c r="I37" s="5"/>
      <c r="J37" s="5"/>
    </row>
    <row r="38" customFormat="false" ht="30" hidden="false" customHeight="true" outlineLevel="0" collapsed="false">
      <c r="A38" s="88" t="s">
        <v>101</v>
      </c>
      <c r="B38" s="89" t="s">
        <v>192</v>
      </c>
      <c r="C38" s="89"/>
      <c r="D38" s="89"/>
      <c r="E38" s="89"/>
      <c r="F38" s="89"/>
      <c r="G38" s="89"/>
      <c r="H38" s="89"/>
      <c r="I38" s="89"/>
      <c r="J38" s="89"/>
    </row>
    <row r="39" customFormat="false" ht="43.5" hidden="false" customHeight="true" outlineLevel="0" collapsed="false">
      <c r="A39" s="88" t="s">
        <v>193</v>
      </c>
      <c r="B39" s="89" t="s">
        <v>194</v>
      </c>
      <c r="C39" s="89"/>
      <c r="D39" s="89"/>
      <c r="E39" s="89"/>
      <c r="F39" s="89"/>
      <c r="G39" s="89"/>
      <c r="H39" s="89"/>
      <c r="I39" s="89"/>
      <c r="J39" s="89"/>
    </row>
    <row r="40" customFormat="false" ht="43.5" hidden="false" customHeight="true" outlineLevel="0" collapsed="false">
      <c r="A40" s="88" t="s">
        <v>195</v>
      </c>
      <c r="B40" s="89" t="s">
        <v>196</v>
      </c>
      <c r="C40" s="89"/>
      <c r="D40" s="89"/>
      <c r="E40" s="89"/>
      <c r="F40" s="89"/>
      <c r="G40" s="89"/>
      <c r="H40" s="89"/>
      <c r="I40" s="89"/>
      <c r="J40" s="89"/>
    </row>
    <row r="41" customFormat="false" ht="30" hidden="false" customHeight="true" outlineLevel="0" collapsed="false">
      <c r="A41" s="88" t="s">
        <v>113</v>
      </c>
      <c r="B41" s="89" t="s">
        <v>197</v>
      </c>
      <c r="C41" s="89"/>
      <c r="D41" s="89"/>
      <c r="E41" s="89"/>
      <c r="F41" s="89"/>
      <c r="G41" s="89"/>
      <c r="H41" s="89"/>
      <c r="I41" s="89"/>
      <c r="J41" s="89"/>
    </row>
    <row r="42" customFormat="false" ht="43.5" hidden="false" customHeight="true" outlineLevel="0" collapsed="false">
      <c r="A42" s="88" t="s">
        <v>136</v>
      </c>
      <c r="B42" s="89" t="s">
        <v>198</v>
      </c>
      <c r="C42" s="89"/>
      <c r="D42" s="89"/>
      <c r="E42" s="89"/>
      <c r="F42" s="89"/>
      <c r="G42" s="89"/>
      <c r="H42" s="89"/>
      <c r="I42" s="89"/>
      <c r="J42" s="89"/>
    </row>
    <row r="43" customFormat="false" ht="30" hidden="false" customHeight="true" outlineLevel="0" collapsed="false">
      <c r="A43" s="88" t="s">
        <v>199</v>
      </c>
      <c r="B43" s="89" t="s">
        <v>200</v>
      </c>
      <c r="C43" s="89"/>
      <c r="D43" s="89"/>
      <c r="E43" s="89"/>
      <c r="F43" s="89"/>
      <c r="G43" s="89"/>
      <c r="H43" s="89"/>
      <c r="I43" s="89"/>
      <c r="J43" s="89"/>
    </row>
    <row r="44" customFormat="false" ht="7.5" hidden="false" customHeight="true" outlineLevel="0" collapsed="false"/>
    <row r="45" customFormat="false" ht="19.5" hidden="false" customHeight="true" outlineLevel="0" collapsed="false">
      <c r="A45" s="5" t="s">
        <v>201</v>
      </c>
      <c r="B45" s="5"/>
      <c r="C45" s="5"/>
      <c r="D45" s="5"/>
      <c r="E45" s="5"/>
      <c r="F45" s="5"/>
      <c r="G45" s="5"/>
      <c r="H45" s="5"/>
      <c r="I45" s="5"/>
      <c r="J45" s="5"/>
    </row>
    <row r="46" customFormat="false" ht="43.5" hidden="false" customHeight="true" outlineLevel="0" collapsed="false">
      <c r="A46" s="88" t="s">
        <v>202</v>
      </c>
      <c r="B46" s="89" t="s">
        <v>203</v>
      </c>
      <c r="C46" s="89"/>
      <c r="D46" s="89"/>
      <c r="E46" s="89"/>
      <c r="F46" s="89"/>
      <c r="G46" s="89"/>
      <c r="H46" s="89"/>
      <c r="I46" s="89"/>
      <c r="J46" s="89"/>
    </row>
    <row r="47" customFormat="false" ht="30" hidden="false" customHeight="true" outlineLevel="0" collapsed="false">
      <c r="A47" s="88" t="s">
        <v>204</v>
      </c>
      <c r="B47" s="89" t="s">
        <v>205</v>
      </c>
      <c r="C47" s="89"/>
      <c r="D47" s="89"/>
      <c r="E47" s="89"/>
      <c r="F47" s="89"/>
      <c r="G47" s="89"/>
      <c r="H47" s="89"/>
      <c r="I47" s="89"/>
      <c r="J47" s="89"/>
    </row>
    <row r="48" customFormat="false" ht="30" hidden="false" customHeight="true" outlineLevel="0" collapsed="false">
      <c r="A48" s="88" t="s">
        <v>206</v>
      </c>
      <c r="B48" s="89" t="s">
        <v>207</v>
      </c>
      <c r="C48" s="89"/>
      <c r="D48" s="89"/>
      <c r="E48" s="89"/>
      <c r="F48" s="89"/>
      <c r="G48" s="89"/>
      <c r="H48" s="89"/>
      <c r="I48" s="89"/>
      <c r="J48" s="89"/>
    </row>
    <row r="49" customFormat="false" ht="30" hidden="false" customHeight="true" outlineLevel="0" collapsed="false">
      <c r="A49" s="88" t="s">
        <v>208</v>
      </c>
      <c r="B49" s="89" t="s">
        <v>209</v>
      </c>
      <c r="C49" s="89"/>
      <c r="D49" s="89"/>
      <c r="E49" s="89"/>
      <c r="F49" s="89"/>
      <c r="G49" s="89"/>
      <c r="H49" s="89"/>
      <c r="I49" s="89"/>
      <c r="J49" s="89"/>
    </row>
    <row r="50" customFormat="false" ht="7.5" hidden="false" customHeight="true" outlineLevel="0" collapsed="false"/>
    <row r="51" customFormat="false" ht="15" hidden="false" customHeight="false" outlineLevel="0" collapsed="false">
      <c r="A51" s="87" t="s">
        <v>210</v>
      </c>
      <c r="B51" s="87"/>
      <c r="C51" s="87"/>
      <c r="D51" s="87"/>
      <c r="E51" s="87"/>
      <c r="F51" s="87"/>
      <c r="G51" s="87"/>
      <c r="H51" s="87"/>
      <c r="I51" s="87"/>
      <c r="J51" s="87"/>
    </row>
  </sheetData>
  <sheetProtection sheet="true" password="ec70" formatCells="false" sort="false" autoFilter="false"/>
  <mergeCells count="44">
    <mergeCell ref="A1:J1"/>
    <mergeCell ref="A2:J2"/>
    <mergeCell ref="A4:J4"/>
    <mergeCell ref="B5:J5"/>
    <mergeCell ref="B6:J6"/>
    <mergeCell ref="B7:J7"/>
    <mergeCell ref="B8:J8"/>
    <mergeCell ref="B9:J9"/>
    <mergeCell ref="A11:J11"/>
    <mergeCell ref="B12:J12"/>
    <mergeCell ref="B13:J13"/>
    <mergeCell ref="B14:J14"/>
    <mergeCell ref="B15:J15"/>
    <mergeCell ref="B16:J16"/>
    <mergeCell ref="B17:J17"/>
    <mergeCell ref="B18:J18"/>
    <mergeCell ref="B19:J19"/>
    <mergeCell ref="A21:J21"/>
    <mergeCell ref="B22:J22"/>
    <mergeCell ref="B23:J23"/>
    <mergeCell ref="B24:J24"/>
    <mergeCell ref="B25:J25"/>
    <mergeCell ref="B26:J26"/>
    <mergeCell ref="B27:J27"/>
    <mergeCell ref="B28:J28"/>
    <mergeCell ref="A30:J30"/>
    <mergeCell ref="B31:J31"/>
    <mergeCell ref="B32:J32"/>
    <mergeCell ref="B33:J33"/>
    <mergeCell ref="B34:J34"/>
    <mergeCell ref="B35:J35"/>
    <mergeCell ref="A37:J37"/>
    <mergeCell ref="B38:J38"/>
    <mergeCell ref="B39:J39"/>
    <mergeCell ref="B40:J40"/>
    <mergeCell ref="B41:J41"/>
    <mergeCell ref="B42:J42"/>
    <mergeCell ref="B43:J43"/>
    <mergeCell ref="A45:J45"/>
    <mergeCell ref="B46:J46"/>
    <mergeCell ref="B47:J47"/>
    <mergeCell ref="B48:J48"/>
    <mergeCell ref="B49:J49"/>
    <mergeCell ref="A51:J5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38"/>
    <col collapsed="false" customWidth="true" hidden="false" outlineLevel="0" max="3" min="2" style="1" width="17"/>
    <col collapsed="false" customWidth="true" hidden="false" outlineLevel="0" max="4" min="4" style="1" width="19"/>
    <col collapsed="false" customWidth="true" hidden="false" outlineLevel="0" max="5" min="5" style="1" width="3"/>
    <col collapsed="false" customWidth="true" hidden="false" outlineLevel="0" max="6" min="6" style="1" width="70"/>
  </cols>
  <sheetData>
    <row r="1" customFormat="false" ht="25.5" hidden="false" customHeight="true" outlineLevel="0" collapsed="false">
      <c r="A1" s="2" t="s">
        <v>211</v>
      </c>
      <c r="B1" s="2"/>
      <c r="C1" s="2"/>
      <c r="D1" s="2"/>
      <c r="E1" s="2"/>
      <c r="F1" s="2"/>
    </row>
    <row r="2" customFormat="false" ht="15" hidden="false" customHeight="true" outlineLevel="0" collapsed="false">
      <c r="A2" s="3" t="s">
        <v>212</v>
      </c>
      <c r="B2" s="3"/>
      <c r="C2" s="3"/>
      <c r="D2" s="3"/>
      <c r="E2" s="3"/>
      <c r="F2" s="3"/>
    </row>
    <row r="4" customFormat="false" ht="19.5" hidden="false" customHeight="true" outlineLevel="0" collapsed="false">
      <c r="A4" s="90" t="s">
        <v>213</v>
      </c>
      <c r="B4" s="90"/>
      <c r="C4" s="90"/>
      <c r="D4" s="90"/>
      <c r="E4" s="91"/>
      <c r="F4" s="92" t="s">
        <v>214</v>
      </c>
    </row>
    <row r="5" customFormat="false" ht="15" hidden="false" customHeight="false" outlineLevel="0" collapsed="false">
      <c r="A5" s="93" t="s">
        <v>6</v>
      </c>
      <c r="B5" s="94" t="s">
        <v>215</v>
      </c>
      <c r="C5" s="94" t="s">
        <v>216</v>
      </c>
      <c r="D5" s="94" t="s">
        <v>217</v>
      </c>
    </row>
    <row r="6" customFormat="false" ht="15" hidden="false" customHeight="false" outlineLevel="0" collapsed="false">
      <c r="A6" s="95" t="s">
        <v>218</v>
      </c>
      <c r="B6" s="96" t="n">
        <v>35.31579</v>
      </c>
      <c r="C6" s="97" t="n">
        <f aca="false">B6*1.25</f>
        <v>44.1447375</v>
      </c>
      <c r="D6" s="98" t="n">
        <f aca="false">B6*76</f>
        <v>2684.00004</v>
      </c>
    </row>
    <row r="7" customFormat="false" ht="15" hidden="false" customHeight="false" outlineLevel="0" collapsed="false">
      <c r="A7" s="95" t="s">
        <v>219</v>
      </c>
      <c r="B7" s="96" t="n">
        <v>35.98684</v>
      </c>
      <c r="C7" s="97" t="n">
        <f aca="false">B7*1.25</f>
        <v>44.98355</v>
      </c>
      <c r="D7" s="98" t="n">
        <f aca="false">B7*76</f>
        <v>2734.99984</v>
      </c>
    </row>
    <row r="8" customFormat="false" ht="15" hidden="false" customHeight="false" outlineLevel="0" collapsed="false">
      <c r="A8" s="95" t="s">
        <v>220</v>
      </c>
      <c r="B8" s="96" t="n">
        <v>36.75</v>
      </c>
      <c r="C8" s="97" t="n">
        <f aca="false">B8*1.25</f>
        <v>45.9375</v>
      </c>
      <c r="D8" s="98" t="n">
        <f aca="false">B8*76</f>
        <v>2793</v>
      </c>
    </row>
    <row r="9" customFormat="false" ht="15" hidden="false" customHeight="false" outlineLevel="0" collapsed="false">
      <c r="A9" s="95" t="s">
        <v>7</v>
      </c>
      <c r="B9" s="96" t="n">
        <v>37.5</v>
      </c>
      <c r="C9" s="97" t="n">
        <f aca="false">B9*1.25</f>
        <v>46.875</v>
      </c>
      <c r="D9" s="98" t="n">
        <f aca="false">B9*76</f>
        <v>2850</v>
      </c>
    </row>
    <row r="10" customFormat="false" ht="15" hidden="false" customHeight="false" outlineLevel="0" collapsed="false">
      <c r="A10" s="95" t="s">
        <v>221</v>
      </c>
      <c r="B10" s="96" t="n">
        <v>39.01316</v>
      </c>
      <c r="C10" s="97" t="n">
        <f aca="false">B10*1.25</f>
        <v>48.76645</v>
      </c>
      <c r="D10" s="98" t="n">
        <f aca="false">B10*76</f>
        <v>2965.00016</v>
      </c>
    </row>
    <row r="11" customFormat="false" ht="15" hidden="false" customHeight="false" outlineLevel="0" collapsed="false">
      <c r="A11" s="95" t="s">
        <v>222</v>
      </c>
      <c r="B11" s="96" t="n">
        <v>40.25</v>
      </c>
      <c r="C11" s="97" t="n">
        <f aca="false">B11*1.25</f>
        <v>50.3125</v>
      </c>
      <c r="D11" s="98" t="n">
        <f aca="false">B11*76</f>
        <v>3059</v>
      </c>
    </row>
    <row r="12" customFormat="false" ht="15" hidden="false" customHeight="false" outlineLevel="0" collapsed="false">
      <c r="A12" s="95" t="s">
        <v>223</v>
      </c>
      <c r="B12" s="96" t="n">
        <v>41.5</v>
      </c>
      <c r="C12" s="97" t="n">
        <f aca="false">B12*1.25</f>
        <v>51.875</v>
      </c>
      <c r="D12" s="98" t="n">
        <f aca="false">B12*76</f>
        <v>3154</v>
      </c>
    </row>
    <row r="13" customFormat="false" ht="15" hidden="false" customHeight="false" outlineLevel="0" collapsed="false">
      <c r="A13" s="95" t="s">
        <v>224</v>
      </c>
      <c r="B13" s="96" t="n">
        <v>42.69737</v>
      </c>
      <c r="C13" s="97" t="n">
        <f aca="false">B13*1.25</f>
        <v>53.3717125</v>
      </c>
      <c r="D13" s="98" t="n">
        <f aca="false">B13*76</f>
        <v>3245.00012</v>
      </c>
    </row>
    <row r="14" customFormat="false" ht="15" hidden="false" customHeight="false" outlineLevel="0" collapsed="false">
      <c r="A14" s="95" t="s">
        <v>10</v>
      </c>
      <c r="B14" s="96" t="n">
        <v>43.77632</v>
      </c>
      <c r="C14" s="97" t="n">
        <f aca="false">B14*1.25</f>
        <v>54.7204</v>
      </c>
      <c r="D14" s="98" t="n">
        <f aca="false">B14*76</f>
        <v>3327.00032</v>
      </c>
    </row>
    <row r="15" customFormat="false" ht="15" hidden="false" customHeight="false" outlineLevel="0" collapsed="false">
      <c r="A15" s="95" t="s">
        <v>225</v>
      </c>
      <c r="B15" s="96" t="n">
        <v>45.15789</v>
      </c>
      <c r="C15" s="97" t="n">
        <f aca="false">B15*1.25</f>
        <v>56.447362500000004</v>
      </c>
      <c r="D15" s="98" t="n">
        <f aca="false">B15*76</f>
        <v>3431.99964</v>
      </c>
    </row>
    <row r="16" customFormat="false" ht="15" hidden="false" customHeight="false" outlineLevel="0" collapsed="false">
      <c r="A16" s="95" t="s">
        <v>226</v>
      </c>
      <c r="B16" s="96" t="n">
        <v>46.60526</v>
      </c>
      <c r="C16" s="97" t="n">
        <f aca="false">B16*1.25</f>
        <v>58.256575</v>
      </c>
      <c r="D16" s="98" t="n">
        <f aca="false">B16*76</f>
        <v>3541.99976</v>
      </c>
    </row>
    <row r="17" customFormat="false" ht="15" hidden="false" customHeight="false" outlineLevel="0" collapsed="false">
      <c r="A17" s="95" t="s">
        <v>227</v>
      </c>
      <c r="B17" s="96" t="n">
        <v>48.0</v>
      </c>
      <c r="C17" s="97" t="n">
        <f aca="false">B17*1.25</f>
        <v>60</v>
      </c>
      <c r="D17" s="98" t="n">
        <f aca="false">B17*76</f>
        <v>3648</v>
      </c>
    </row>
    <row r="18" customFormat="false" ht="15" hidden="false" customHeight="false" outlineLevel="0" collapsed="false">
      <c r="A18" s="95" t="s">
        <v>228</v>
      </c>
      <c r="B18" s="96" t="n">
        <v>50.02632</v>
      </c>
      <c r="C18" s="97" t="n">
        <f aca="false">B18*1.25</f>
        <v>62.5329</v>
      </c>
      <c r="D18" s="98" t="n">
        <f aca="false">B18*76</f>
        <v>3802.00032</v>
      </c>
    </row>
    <row r="19" customFormat="false" ht="15" hidden="false" customHeight="false" outlineLevel="0" collapsed="false">
      <c r="A19" s="95" t="s">
        <v>229</v>
      </c>
      <c r="B19" s="96" t="n">
        <v>51.35526</v>
      </c>
      <c r="C19" s="97" t="n">
        <f aca="false">B19*1.25</f>
        <v>64.194075</v>
      </c>
      <c r="D19" s="98" t="n">
        <f aca="false">B19*76</f>
        <v>3902.99976</v>
      </c>
    </row>
    <row r="20" customFormat="false" ht="15" hidden="false" customHeight="false" outlineLevel="0" collapsed="false">
      <c r="A20" s="95" t="s">
        <v>230</v>
      </c>
      <c r="B20" s="96" t="n">
        <v>52.60526</v>
      </c>
      <c r="C20" s="97" t="n">
        <f aca="false">B20*1.25</f>
        <v>65.756575</v>
      </c>
      <c r="D20" s="98" t="n">
        <f aca="false">B20*76</f>
        <v>3997.99976</v>
      </c>
    </row>
    <row r="21" customFormat="false" ht="15" hidden="false" customHeight="false" outlineLevel="0" collapsed="false">
      <c r="A21" s="99" t="s">
        <v>231</v>
      </c>
    </row>
    <row r="23" customFormat="false" ht="19.5" hidden="false" customHeight="true" outlineLevel="0" collapsed="false">
      <c r="A23" s="90" t="s">
        <v>232</v>
      </c>
      <c r="B23" s="90"/>
      <c r="C23" s="90"/>
      <c r="D23" s="90"/>
      <c r="E23" s="90"/>
      <c r="F23" s="90"/>
    </row>
    <row r="24" customFormat="false" ht="15" hidden="false" customHeight="false" outlineLevel="0" collapsed="false">
      <c r="A24" s="93" t="s">
        <v>233</v>
      </c>
      <c r="B24" s="94" t="s">
        <v>234</v>
      </c>
      <c r="C24" s="93" t="s">
        <v>235</v>
      </c>
      <c r="F24" s="93" t="s">
        <v>236</v>
      </c>
    </row>
    <row r="25" customFormat="false" ht="15" hidden="false" customHeight="false" outlineLevel="0" collapsed="false">
      <c r="A25" s="95" t="s">
        <v>237</v>
      </c>
      <c r="B25" s="71" t="n">
        <v>0.2696</v>
      </c>
      <c r="C25" s="100" t="s">
        <v>238</v>
      </c>
      <c r="F25" s="99" t="s">
        <v>239</v>
      </c>
    </row>
    <row r="26" customFormat="false" ht="15" hidden="false" customHeight="false" outlineLevel="0" collapsed="false">
      <c r="A26" s="95" t="s">
        <v>240</v>
      </c>
      <c r="B26" s="71" t="n">
        <v>0.2746</v>
      </c>
      <c r="C26" s="100" t="s">
        <v>238</v>
      </c>
      <c r="F26" s="99" t="s">
        <v>241</v>
      </c>
    </row>
    <row r="27" customFormat="false" ht="15" hidden="false" customHeight="false" outlineLevel="0" collapsed="false">
      <c r="A27" s="95" t="s">
        <v>242</v>
      </c>
      <c r="B27" s="96" t="n">
        <v>0.571053</v>
      </c>
      <c r="C27" s="100" t="s">
        <v>243</v>
      </c>
      <c r="F27" s="99" t="s">
        <v>244</v>
      </c>
    </row>
    <row r="28" customFormat="false" ht="15" hidden="false" customHeight="false" outlineLevel="0" collapsed="false">
      <c r="A28" s="95" t="s">
        <v>245</v>
      </c>
      <c r="B28" s="96" t="n">
        <v>0.28553</v>
      </c>
      <c r="C28" s="100" t="s">
        <v>243</v>
      </c>
      <c r="F28" s="99" t="s">
        <v>246</v>
      </c>
    </row>
    <row r="29" customFormat="false" ht="15" hidden="false" customHeight="false" outlineLevel="0" collapsed="false">
      <c r="A29" s="95" t="s">
        <v>247</v>
      </c>
      <c r="B29" s="96" t="n">
        <v>4.9867</v>
      </c>
      <c r="C29" s="100" t="s">
        <v>243</v>
      </c>
      <c r="F29" s="99" t="s">
        <v>248</v>
      </c>
    </row>
    <row r="30" customFormat="false" ht="15" hidden="false" customHeight="false" outlineLevel="0" collapsed="false">
      <c r="A30" s="95" t="s">
        <v>158</v>
      </c>
      <c r="B30" s="96" t="n">
        <v>0.5921</v>
      </c>
      <c r="C30" s="100" t="s">
        <v>243</v>
      </c>
      <c r="F30" s="99" t="s">
        <v>249</v>
      </c>
    </row>
    <row r="31" customFormat="false" ht="15" hidden="false" customHeight="false" outlineLevel="0" collapsed="false">
      <c r="A31" s="95" t="s">
        <v>160</v>
      </c>
      <c r="B31" s="96" t="n">
        <v>0.082895</v>
      </c>
      <c r="C31" s="100" t="s">
        <v>243</v>
      </c>
      <c r="F31" s="99" t="s">
        <v>250</v>
      </c>
    </row>
    <row r="32" customFormat="false" ht="15" hidden="false" customHeight="false" outlineLevel="0" collapsed="false">
      <c r="A32" s="95" t="s">
        <v>164</v>
      </c>
      <c r="B32" s="62" t="n">
        <v>16.39</v>
      </c>
      <c r="C32" s="100" t="s">
        <v>251</v>
      </c>
      <c r="F32" s="99" t="s">
        <v>252</v>
      </c>
    </row>
    <row r="34" customFormat="false" ht="19.5" hidden="false" customHeight="true" outlineLevel="0" collapsed="false">
      <c r="A34" s="90" t="s">
        <v>253</v>
      </c>
      <c r="B34" s="90"/>
      <c r="C34" s="90"/>
      <c r="D34" s="90"/>
      <c r="E34" s="90"/>
      <c r="F34" s="90"/>
    </row>
    <row r="35" customFormat="false" ht="15" hidden="false" customHeight="false" outlineLevel="0" collapsed="false">
      <c r="A35" s="95" t="s">
        <v>18</v>
      </c>
      <c r="B35" s="62" t="n">
        <v>0</v>
      </c>
      <c r="F35" s="99"/>
    </row>
    <row r="36" customFormat="false" ht="15" hidden="false" customHeight="false" outlineLevel="0" collapsed="false">
      <c r="A36" s="95" t="s">
        <v>254</v>
      </c>
      <c r="B36" s="62" t="n">
        <v>41.5</v>
      </c>
      <c r="F36" s="99" t="s">
        <v>255</v>
      </c>
    </row>
    <row r="37" customFormat="false" ht="15" hidden="false" customHeight="false" outlineLevel="0" collapsed="false">
      <c r="A37" s="95" t="s">
        <v>256</v>
      </c>
      <c r="B37" s="62" t="n">
        <v>42.8</v>
      </c>
      <c r="F37" s="99" t="s">
        <v>257</v>
      </c>
    </row>
    <row r="38" customFormat="false" ht="15" hidden="false" customHeight="false" outlineLevel="0" collapsed="false">
      <c r="A38" s="95" t="s">
        <v>258</v>
      </c>
      <c r="B38" s="62" t="n">
        <v>44.6</v>
      </c>
      <c r="F38" s="99" t="s">
        <v>259</v>
      </c>
    </row>
    <row r="40" customFormat="false" ht="19.5" hidden="false" customHeight="true" outlineLevel="0" collapsed="false">
      <c r="A40" s="90" t="s">
        <v>260</v>
      </c>
      <c r="B40" s="90"/>
      <c r="C40" s="90"/>
      <c r="D40" s="90"/>
      <c r="E40" s="90"/>
      <c r="F40" s="90"/>
    </row>
    <row r="41" customFormat="false" ht="15" hidden="false" customHeight="false" outlineLevel="0" collapsed="false">
      <c r="A41" s="95" t="s">
        <v>261</v>
      </c>
      <c r="B41" s="71" t="n">
        <v>0.1275</v>
      </c>
      <c r="F41" s="99" t="s">
        <v>262</v>
      </c>
    </row>
    <row r="42" customFormat="false" ht="15" hidden="false" customHeight="false" outlineLevel="0" collapsed="false">
      <c r="A42" s="95" t="s">
        <v>263</v>
      </c>
      <c r="B42" s="71" t="n">
        <v>0.15</v>
      </c>
      <c r="F42" s="99" t="s">
        <v>264</v>
      </c>
    </row>
    <row r="43" customFormat="false" ht="15" hidden="false" customHeight="false" outlineLevel="0" collapsed="false">
      <c r="A43" s="95" t="s">
        <v>265</v>
      </c>
      <c r="B43" s="71" t="n">
        <v>0.12</v>
      </c>
      <c r="F43" s="99" t="s">
        <v>266</v>
      </c>
    </row>
    <row r="44" customFormat="false" ht="15" hidden="false" customHeight="false" outlineLevel="0" collapsed="false">
      <c r="A44" s="95" t="s">
        <v>267</v>
      </c>
      <c r="B44" s="101" t="n">
        <v>32500</v>
      </c>
      <c r="F44" s="99" t="s">
        <v>268</v>
      </c>
    </row>
    <row r="45" customFormat="false" ht="15" hidden="false" customHeight="false" outlineLevel="0" collapsed="false">
      <c r="A45" s="95" t="s">
        <v>269</v>
      </c>
      <c r="B45" s="71" t="n">
        <v>0.05</v>
      </c>
      <c r="F45" s="99" t="s">
        <v>270</v>
      </c>
    </row>
    <row r="46" customFormat="false" ht="15" hidden="false" customHeight="false" outlineLevel="0" collapsed="false">
      <c r="A46" s="95" t="s">
        <v>271</v>
      </c>
      <c r="B46" s="62" t="n">
        <v>1.35</v>
      </c>
      <c r="F46" s="99" t="s">
        <v>272</v>
      </c>
    </row>
    <row r="47" customFormat="false" ht="15" hidden="false" customHeight="false" outlineLevel="0" collapsed="false">
      <c r="A47" s="95" t="s">
        <v>273</v>
      </c>
      <c r="B47" s="102" t="n">
        <v>26</v>
      </c>
      <c r="F47" s="99" t="s">
        <v>274</v>
      </c>
    </row>
    <row r="48" customFormat="false" ht="15" hidden="false" customHeight="false" outlineLevel="0" collapsed="false">
      <c r="A48" s="95" t="s">
        <v>275</v>
      </c>
      <c r="B48" s="103" t="n">
        <v>7.6</v>
      </c>
      <c r="F48" s="99" t="s">
        <v>276</v>
      </c>
    </row>
    <row r="49" customFormat="false" ht="15" hidden="false" customHeight="false" outlineLevel="0" collapsed="false">
      <c r="A49" s="95" t="s">
        <v>277</v>
      </c>
      <c r="B49" s="104" t="n">
        <v>46631</v>
      </c>
      <c r="F49" s="99" t="s">
        <v>278</v>
      </c>
    </row>
    <row r="51" customFormat="false" ht="19.5" hidden="false" customHeight="true" outlineLevel="0" collapsed="false">
      <c r="A51" s="90" t="s">
        <v>279</v>
      </c>
      <c r="B51" s="90"/>
      <c r="C51" s="90"/>
      <c r="D51" s="90"/>
      <c r="E51" s="90"/>
      <c r="F51" s="90"/>
    </row>
    <row r="52" customFormat="false" ht="15" hidden="false" customHeight="false" outlineLevel="0" collapsed="false">
      <c r="A52" s="93" t="s">
        <v>280</v>
      </c>
      <c r="B52" s="93" t="s">
        <v>281</v>
      </c>
      <c r="C52" s="93"/>
      <c r="D52" s="93"/>
      <c r="F52" s="105" t="s">
        <v>282</v>
      </c>
    </row>
    <row r="53" customFormat="false" ht="15" hidden="false" customHeight="false" outlineLevel="0" collapsed="false">
      <c r="A53" s="22" t="s">
        <v>283</v>
      </c>
      <c r="B53" s="106" t="s">
        <v>284</v>
      </c>
      <c r="C53" s="106"/>
      <c r="D53" s="106"/>
      <c r="F53" s="99" t="s">
        <v>285</v>
      </c>
    </row>
    <row r="54" customFormat="false" ht="15" hidden="false" customHeight="false" outlineLevel="0" collapsed="false">
      <c r="A54" s="22" t="s">
        <v>286</v>
      </c>
      <c r="B54" s="106" t="s">
        <v>287</v>
      </c>
      <c r="C54" s="106"/>
      <c r="D54" s="106"/>
      <c r="F54" s="99" t="s">
        <v>288</v>
      </c>
    </row>
    <row r="55" customFormat="false" ht="15" hidden="false" customHeight="false" outlineLevel="0" collapsed="false">
      <c r="A55" s="22" t="s">
        <v>289</v>
      </c>
      <c r="B55" s="106" t="s">
        <v>290</v>
      </c>
      <c r="C55" s="106"/>
      <c r="D55" s="106"/>
      <c r="F55" s="99" t="s">
        <v>291</v>
      </c>
    </row>
    <row r="56" customFormat="false" ht="15" hidden="false" customHeight="false" outlineLevel="0" collapsed="false">
      <c r="A56" s="22" t="s">
        <v>154</v>
      </c>
      <c r="B56" s="106" t="s">
        <v>292</v>
      </c>
      <c r="C56" s="106"/>
      <c r="D56" s="106"/>
      <c r="F56" s="99" t="s">
        <v>293</v>
      </c>
    </row>
    <row r="57" customFormat="false" ht="15" hidden="false" customHeight="false" outlineLevel="0" collapsed="false">
      <c r="A57" s="22" t="s">
        <v>294</v>
      </c>
      <c r="B57" s="106" t="s">
        <v>295</v>
      </c>
      <c r="C57" s="106"/>
      <c r="D57" s="106"/>
      <c r="F57" s="99" t="s">
        <v>296</v>
      </c>
    </row>
    <row r="58" customFormat="false" ht="15" hidden="false" customHeight="false" outlineLevel="0" collapsed="false">
      <c r="A58" s="22" t="s">
        <v>297</v>
      </c>
      <c r="B58" s="106" t="s">
        <v>298</v>
      </c>
      <c r="C58" s="106"/>
      <c r="D58" s="106"/>
      <c r="F58" s="99" t="s">
        <v>299</v>
      </c>
    </row>
    <row r="60" customFormat="false" ht="15" hidden="false" customHeight="false" outlineLevel="0" collapsed="false">
      <c r="A60" s="107" t="s">
        <v>300</v>
      </c>
    </row>
    <row r="61" customFormat="false" ht="15" hidden="false" customHeight="false" outlineLevel="0" collapsed="false">
      <c r="A61" s="22" t="s">
        <v>301</v>
      </c>
      <c r="B61" s="108" t="s">
        <v>302</v>
      </c>
      <c r="C61" s="108"/>
      <c r="D61" s="108"/>
      <c r="F61" s="99" t="s">
        <v>303</v>
      </c>
    </row>
    <row r="62" customFormat="false" ht="15" hidden="false" customHeight="false" outlineLevel="0" collapsed="false">
      <c r="A62" s="22" t="s">
        <v>304</v>
      </c>
      <c r="B62" s="108" t="s">
        <v>305</v>
      </c>
      <c r="C62" s="108"/>
      <c r="D62" s="108"/>
      <c r="F62" s="99" t="s">
        <v>306</v>
      </c>
    </row>
    <row r="63" customFormat="false" ht="15" hidden="false" customHeight="false" outlineLevel="0" collapsed="false">
      <c r="A63" s="22" t="s">
        <v>307</v>
      </c>
      <c r="B63" s="108" t="s">
        <v>308</v>
      </c>
      <c r="C63" s="108"/>
      <c r="D63" s="108"/>
      <c r="F63" s="99" t="s">
        <v>309</v>
      </c>
    </row>
    <row r="64" customFormat="false" ht="15" hidden="false" customHeight="false" outlineLevel="0" collapsed="false">
      <c r="A64" s="22" t="s">
        <v>310</v>
      </c>
      <c r="B64" s="108" t="s">
        <v>311</v>
      </c>
      <c r="C64" s="108"/>
      <c r="D64" s="108"/>
      <c r="F64" s="99" t="s">
        <v>312</v>
      </c>
    </row>
    <row r="65" customFormat="false" ht="15" hidden="false" customHeight="false" outlineLevel="0" collapsed="false">
      <c r="A65" s="22" t="s">
        <v>313</v>
      </c>
      <c r="B65" s="108" t="s">
        <v>314</v>
      </c>
      <c r="C65" s="108"/>
      <c r="D65" s="108"/>
      <c r="F65" s="99" t="s">
        <v>315</v>
      </c>
    </row>
    <row r="66" customFormat="false" ht="15" hidden="false" customHeight="false" outlineLevel="0" collapsed="false">
      <c r="A66" s="22" t="s">
        <v>316</v>
      </c>
      <c r="B66" s="108" t="s">
        <v>314</v>
      </c>
      <c r="C66" s="108"/>
      <c r="D66" s="108"/>
      <c r="F66" s="99" t="s">
        <v>317</v>
      </c>
    </row>
    <row r="68" customFormat="false" ht="15" hidden="false" customHeight="false" outlineLevel="0" collapsed="false">
      <c r="A68" s="90" t="s">
        <v>437</v>
      </c>
      <c r="B68" s="90"/>
      <c r="C68" s="90"/>
      <c r="D68" s="90"/>
      <c r="E68" s="90"/>
      <c r="F68" s="90"/>
    </row>
    <row r="69" customFormat="false" ht="15" hidden="false" customHeight="false" outlineLevel="0" collapsed="false">
      <c r="A69" s="93" t="s">
        <v>6</v>
      </c>
      <c r="B69" s="94" t="s">
        <v>215</v>
      </c>
      <c r="C69" s="94" t="s">
        <v>216</v>
      </c>
      <c r="D69" s="94" t="s">
        <v>217</v>
      </c>
    </row>
    <row r="70" customFormat="false" ht="15" hidden="false" customHeight="false" outlineLevel="0" collapsed="false">
      <c r="A70" s="95" t="inlineStr">
        <is>
          <t>L3-Q</t>
        </is>
      </c>
      <c r="B70" s="96">
        <f aca="false">(ROUND(D9,0)+$B$36)/76</f>
        <v>38.046052631578945</v>
      </c>
      <c r="C70" s="97">
        <f aca="false">B70*1.25</f>
        <v>47.557565789473685</v>
      </c>
      <c r="D70" s="98">
        <f aca="false">B70*76</f>
        <v>2891.5</v>
      </c>
    </row>
    <row r="71" customFormat="false" ht="15" hidden="false" customHeight="false" outlineLevel="0" collapsed="false">
      <c r="A71" s="95" t="inlineStr">
        <is>
          <t>L4-Q</t>
        </is>
      </c>
      <c r="B71" s="96">
        <f aca="false">(ROUND(D13,0)+$B$37)/76</f>
        <v>43.26052631578948</v>
      </c>
      <c r="C71" s="97">
        <f aca="false">B71*1.25</f>
        <v>54.07565789473685</v>
      </c>
      <c r="D71" s="98">
        <f aca="false">B71*76</f>
        <v>3287.8</v>
      </c>
    </row>
    <row r="72" customFormat="false" ht="15" hidden="false" customHeight="false" outlineLevel="0" collapsed="false">
      <c r="A72" s="95" t="inlineStr">
        <is>
          <t>L5-Q</t>
        </is>
      </c>
      <c r="B72" s="96">
        <f aca="false">(ROUND(D17,0)+$B$37)/76</f>
        <v>48.56315789473685</v>
      </c>
      <c r="C72" s="97">
        <f aca="false">B72*1.25</f>
        <v>60.703947368421055</v>
      </c>
      <c r="D72" s="98">
        <f aca="false">B72*76</f>
        <v>3690.8</v>
      </c>
    </row>
    <row r="73" customFormat="false" ht="15" hidden="false" customHeight="false" outlineLevel="0" collapsed="false">
      <c r="A73" s="95" t="inlineStr">
        <is>
          <t>L6-Q</t>
        </is>
      </c>
      <c r="B73" s="96">
        <f aca="false">(ROUND(D20,0)+$B$38)/76</f>
        <v>53.19210526315789</v>
      </c>
      <c r="C73" s="97">
        <f aca="false">B73*1.25</f>
        <v>66.49013157894737</v>
      </c>
      <c r="D73" s="98">
        <f aca="false">B73*76</f>
        <v>4042.6</v>
      </c>
    </row>
    <row r="74" customFormat="false" ht="15" hidden="false" customHeight="false" outlineLevel="0" collapsed="false">
      <c r="A74" s="99" t="s">
        <v>438</v>
      </c>
    </row>
    <row r="76" customFormat="false" ht="15" hidden="false" customHeight="false" outlineLevel="0" collapsed="false">
      <c r="A76" s="95" t="inlineStr">
        <is>
          <t>Effective higher-duties code — resolves the Auto option from the classification. The engine reads this cell, not B7 on Pay Calculator.</t>
        </is>
      </c>
      <c r="B76" t="str">
        <f aca="false">IF('Pay Calculator'!$B$7&lt;&gt;"Auto",'Pay Calculator'!$B$7,IF(OR(LEFT('Pay Calculator'!$B$6,2)="L3",LEFT('Pay Calculator'!$B$6,2)="L4"),"L5-1",IF(LEFT('Pay Calculator'!$B$6,2)="L5","L6-1","None")))</f>
        <v>L5-1</v>
      </c>
    </row>
  </sheetData>
  <sheetProtection sheet="true" password="ec70" formatCells="false" sort="false" autoFilter="false"/>
  <mergeCells count="21">
    <mergeCell ref="A1:F1"/>
    <mergeCell ref="A2:F2"/>
    <mergeCell ref="A4:D4"/>
    <mergeCell ref="A23:F23"/>
    <mergeCell ref="A34:F34"/>
    <mergeCell ref="A40:F40"/>
    <mergeCell ref="A68:F68"/>
    <mergeCell ref="A51:F51"/>
    <mergeCell ref="B52:D52"/>
    <mergeCell ref="B53:D53"/>
    <mergeCell ref="B54:D54"/>
    <mergeCell ref="B55:D55"/>
    <mergeCell ref="B56:D56"/>
    <mergeCell ref="B57:D57"/>
    <mergeCell ref="B58:D58"/>
    <mergeCell ref="B61:D61"/>
    <mergeCell ref="B62:D62"/>
    <mergeCell ref="B63:D63"/>
    <mergeCell ref="B64:D64"/>
    <mergeCell ref="B65:D65"/>
    <mergeCell ref="B66:D6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8359375" defaultRowHeight="15" zeroHeight="false" outlineLevelRow="0" outlineLevelCol="0"/>
  <cols>
    <col collapsed="false" customWidth="true" hidden="false" outlineLevel="0" max="1" min="1" style="1" width="36"/>
    <col collapsed="false" customWidth="true" hidden="false" outlineLevel="0" max="2" min="2" style="1" width="14"/>
    <col collapsed="false" customWidth="true" hidden="false" outlineLevel="0" max="4" min="3" style="1" width="12"/>
    <col collapsed="false" customWidth="true" hidden="false" outlineLevel="0" max="8" min="5" style="1" width="14"/>
  </cols>
  <sheetData>
    <row r="1" customFormat="false" ht="25.5" hidden="false" customHeight="true" outlineLevel="0" collapsed="false">
      <c r="A1" s="2" t="s">
        <v>318</v>
      </c>
      <c r="B1" s="2"/>
      <c r="C1" s="2"/>
      <c r="D1" s="2"/>
      <c r="E1" s="2"/>
      <c r="F1" s="2"/>
      <c r="G1" s="2"/>
      <c r="H1" s="2"/>
    </row>
    <row r="2" customFormat="false" ht="15" hidden="false" customHeight="true" outlineLevel="0" collapsed="false">
      <c r="A2" s="3" t="s">
        <v>319</v>
      </c>
      <c r="B2" s="3"/>
      <c r="C2" s="3"/>
      <c r="D2" s="3"/>
      <c r="E2" s="3"/>
      <c r="F2" s="3"/>
      <c r="G2" s="3"/>
      <c r="H2" s="3"/>
    </row>
    <row r="4" customFormat="false" ht="19.5" hidden="false" customHeight="true" outlineLevel="0" collapsed="false">
      <c r="A4" s="109" t="s">
        <v>320</v>
      </c>
      <c r="B4" s="109"/>
      <c r="C4" s="109"/>
      <c r="D4" s="109"/>
      <c r="E4" s="109"/>
      <c r="F4" s="109"/>
      <c r="G4" s="109"/>
      <c r="H4" s="109"/>
    </row>
    <row r="5" customFormat="false" ht="15" hidden="false" customHeight="false" outlineLevel="0" collapsed="false">
      <c r="A5" s="6" t="s">
        <v>321</v>
      </c>
      <c r="B5" s="110" t="n">
        <f aca="false">'Pay Calculator'!$J$66</f>
        <v>4048.6488200000003</v>
      </c>
      <c r="E5" s="111" t="s">
        <v>322</v>
      </c>
      <c r="F5" s="112" t="n">
        <f aca="false">IF(OR('Pay Calculator'!$B$6="Custom",'Pay Calculator'!$B$6=""),N('Pay Calculator'!$D$6),IFERROR(INDEX(QScaleRates,MATCH('Pay Calculator'!$B$6,QScaleNames,0),IF('Pay Calculator'!$B$5="Casual",2,1)),IFERROR(INDEX(PayScaleRates,MATCH('Pay Calculator'!$B$6,PayScaleNames,0),IF('Pay Calculator'!$B$5="Casual",2,1)),N('Pay Calculator'!$D$6))))</f>
        <v>37.5</v>
      </c>
      <c r="H5" s="111" t="s">
        <v>323</v>
      </c>
      <c r="I5" s="113" t="n">
        <f aca="false">IF('Pay Calculator'!$C$14="No leave",0,IF(AND('Pay Calculator'!$B$5="Casual",OR('Pay Calculator'!$C$14="Sick / carer's",'Pay Calculator'!$C$14="Annual / recreation")),0,N('Pay Calculator'!$B$14)))</f>
        <v>0</v>
      </c>
    </row>
    <row r="6" customFormat="false" ht="15" hidden="false" customHeight="false" outlineLevel="0" collapsed="false">
      <c r="A6" s="114" t="s">
        <v>324</v>
      </c>
      <c r="B6" s="115" t="n">
        <f aca="false">TRUNC(MAX(0,B5)/2,0)</f>
        <v>2024</v>
      </c>
      <c r="E6" s="111" t="s">
        <v>325</v>
      </c>
      <c r="F6" s="112" t="n">
        <f aca="false">IF(HDCode="None",F5,IF(OR(HDCode="Custom",HDCode=""),IF(N('Pay Calculator'!$D$7)&gt;0,N('Pay Calculator'!$D$7),F5),IFERROR(INDEX(PayScaleRates,MATCH(HDCode,PayScaleNames,0),IF('Pay Calculator'!$B$5="Casual",2,1)),N('Pay Calculator'!$D$7))))</f>
        <v>43.77632</v>
      </c>
      <c r="H6" s="111" t="s">
        <v>326</v>
      </c>
      <c r="I6" s="116" t="n">
        <f aca="false">LeaveHrs*BaseRate</f>
        <v>0</v>
      </c>
    </row>
    <row r="7" customFormat="false" ht="15" hidden="false" customHeight="false" outlineLevel="0" collapsed="false">
      <c r="A7" s="114" t="s">
        <v>327</v>
      </c>
      <c r="B7" s="117" t="n">
        <f aca="false">B6+0.99</f>
        <v>2024.99</v>
      </c>
      <c r="E7" s="111" t="s">
        <v>328</v>
      </c>
      <c r="F7" s="118" t="str">
        <f aca="false">IF(ScaleChoice="Auto","2 - Tax-free threshold claimed",ScaleChoice)</f>
        <v>2 - Tax-free threshold claimed</v>
      </c>
      <c r="H7" s="111" t="s">
        <v>329</v>
      </c>
      <c r="I7" s="118" t="n">
        <f aca="false">IF(OR('Pay Calculator'!$C$14="Annual / recreation",'Pay Calculator'!$C$14="Long service"),1,0)</f>
        <v>0</v>
      </c>
    </row>
    <row r="8" customFormat="false" ht="15" hidden="false" customHeight="false" outlineLevel="0" collapsed="false">
      <c r="H8" s="111" t="s">
        <v>330</v>
      </c>
      <c r="I8" s="118" t="n">
        <f aca="false">IF(OR('Pay Calculator'!$C$14="Annual / recreation",'Pay Calculator'!$C$14="Long service",'Pay Calculator'!$C$14="Special"),1,0)</f>
        <v>0</v>
      </c>
    </row>
    <row r="9" customFormat="false" ht="15" hidden="false" customHeight="false" outlineLevel="0" collapsed="false">
      <c r="A9" s="93" t="s">
        <v>331</v>
      </c>
      <c r="C9" s="94" t="s">
        <v>332</v>
      </c>
      <c r="D9" s="94" t="s">
        <v>333</v>
      </c>
      <c r="F9" s="94" t="s">
        <v>334</v>
      </c>
      <c r="H9" s="111" t="s">
        <v>335</v>
      </c>
      <c r="I9" s="118" t="n">
        <f aca="false">IF('Pay Calculator'!$C$14="No leave",0,1)</f>
        <v>0</v>
      </c>
    </row>
    <row r="10" customFormat="false" ht="15" hidden="false" customHeight="false" outlineLevel="0" collapsed="false">
      <c r="A10" s="22" t="s">
        <v>336</v>
      </c>
      <c r="C10" s="119" t="n">
        <f aca="false">VLOOKUP($B$6,LU_Scale1,2)</f>
        <v>0.32</v>
      </c>
      <c r="D10" s="119" t="n">
        <f aca="false">VLOOKUP($B$6,LU_Scale1,3)</f>
        <v>71.6508</v>
      </c>
      <c r="F10" s="120" t="n">
        <f aca="false">ROUND($B$7*C10-D10,0)*2</f>
        <v>1152</v>
      </c>
    </row>
    <row r="11" customFormat="false" ht="15" hidden="false" customHeight="false" outlineLevel="0" collapsed="false">
      <c r="A11" s="22" t="s">
        <v>337</v>
      </c>
      <c r="C11" s="119" t="n">
        <f aca="false">VLOOKUP($B$6,LU_Scale2,2)</f>
        <v>0.32</v>
      </c>
      <c r="D11" s="119" t="n">
        <f aca="false">VLOOKUP($B$6,LU_Scale2,3)</f>
        <v>181.7319</v>
      </c>
      <c r="F11" s="120" t="n">
        <f aca="false">ROUND($B$7*C11-D11,0)*2</f>
        <v>932</v>
      </c>
    </row>
    <row r="12" customFormat="false" ht="15" hidden="false" customHeight="false" outlineLevel="0" collapsed="false">
      <c r="A12" s="22" t="s">
        <v>338</v>
      </c>
      <c r="C12" s="119" t="n">
        <f aca="false">VLOOKUP($B$6,LU_Scale3,2)</f>
        <v>0.3</v>
      </c>
      <c r="D12" s="119" t="n">
        <f aca="false">VLOOKUP($B$6,LU_Scale3,3)</f>
        <v>0.3</v>
      </c>
      <c r="F12" s="120" t="n">
        <f aca="false">ROUND($B$7*C12-D12,0)*2</f>
        <v>1214</v>
      </c>
    </row>
    <row r="13" customFormat="false" ht="15" hidden="false" customHeight="false" outlineLevel="0" collapsed="false">
      <c r="A13" s="22" t="s">
        <v>339</v>
      </c>
      <c r="C13" s="119" t="n">
        <f aca="false">VLOOKUP($B$6,LU_Scale5,2)</f>
        <v>0.3</v>
      </c>
      <c r="D13" s="119" t="n">
        <f aca="false">VLOOKUP($B$6,LU_Scale5,3)</f>
        <v>181.7308</v>
      </c>
      <c r="F13" s="120" t="n">
        <f aca="false">ROUND($B$7*C13-D13,0)*2</f>
        <v>852</v>
      </c>
    </row>
    <row r="14" customFormat="false" ht="15" hidden="false" customHeight="false" outlineLevel="0" collapsed="false">
      <c r="A14" s="22" t="s">
        <v>340</v>
      </c>
      <c r="C14" s="119" t="n">
        <f aca="false">VLOOKUP($B$6,LU_Scale6,2)</f>
        <v>0.31</v>
      </c>
      <c r="D14" s="119" t="n">
        <f aca="false">VLOOKUP($B$6,LU_Scale6,3)</f>
        <v>181.7308</v>
      </c>
      <c r="F14" s="120" t="n">
        <f aca="false">ROUND($B$7*C14-D14,0)*2</f>
        <v>892</v>
      </c>
    </row>
    <row r="15" customFormat="false" ht="15" hidden="false" customHeight="false" outlineLevel="0" collapsed="false">
      <c r="A15" s="121" t="s">
        <v>341</v>
      </c>
      <c r="B15" s="114" t="str">
        <f aca="false">ScaleChoice</f>
        <v>Auto</v>
      </c>
      <c r="F15" s="122" t="n">
        <f aca="false">INDEX($F$10:$F$14,MATCH(ScaleUsed,$A$10:$A$14,0))</f>
        <v>932</v>
      </c>
    </row>
    <row r="17" customFormat="false" ht="15" hidden="false" customHeight="false" outlineLevel="0" collapsed="false">
      <c r="A17" s="22" t="s">
        <v>342</v>
      </c>
      <c r="F17" s="120" t="n">
        <f aca="false">ROUND($B$7*VLOOKUP($B$6,LU_Scale_HELP_TFTR,2)-VLOOKUP($B$6,LU_Scale_HELP_TFTR,3),0)*2</f>
        <v>206</v>
      </c>
    </row>
    <row r="18" customFormat="false" ht="15" hidden="false" customHeight="false" outlineLevel="0" collapsed="false">
      <c r="A18" s="22" t="s">
        <v>343</v>
      </c>
      <c r="F18" s="120" t="n">
        <f aca="false">ROUND($B$7*VLOOKUP($B$6,LU_Scale_HELP_NTFT,2)-VLOOKUP($B$6,LU_Scale_HELP_NTFT,3),0)*2</f>
        <v>312</v>
      </c>
    </row>
    <row r="19" customFormat="false" ht="15" hidden="false" customHeight="false" outlineLevel="0" collapsed="false">
      <c r="A19" s="121" t="s">
        <v>344</v>
      </c>
      <c r="F19" s="122" t="n">
        <f aca="false">IF(STSLChoice="Yes",IF(ScaleUsed=$A$10,F18,F17),0)</f>
        <v>0</v>
      </c>
    </row>
    <row r="22" customFormat="false" ht="19.5" hidden="false" customHeight="true" outlineLevel="0" collapsed="false">
      <c r="A22" s="109" t="s">
        <v>345</v>
      </c>
      <c r="B22" s="109"/>
      <c r="C22" s="109"/>
      <c r="D22" s="109"/>
      <c r="E22" s="109"/>
      <c r="F22" s="109"/>
      <c r="G22" s="109"/>
      <c r="H22" s="109"/>
    </row>
    <row r="23" customFormat="false" ht="15" hidden="false" customHeight="false" outlineLevel="0" collapsed="false">
      <c r="A23" s="75"/>
      <c r="B23" s="76" t="s">
        <v>346</v>
      </c>
      <c r="C23" s="76" t="s">
        <v>347</v>
      </c>
      <c r="D23" s="76" t="s">
        <v>348</v>
      </c>
      <c r="E23" s="76" t="s">
        <v>349</v>
      </c>
      <c r="F23" s="76" t="s">
        <v>350</v>
      </c>
    </row>
    <row r="24" customFormat="false" ht="15" hidden="false" customHeight="false" outlineLevel="0" collapsed="false">
      <c r="A24" s="22" t="s">
        <v>351</v>
      </c>
      <c r="B24" s="123" t="s">
        <v>352</v>
      </c>
      <c r="C24" s="123" t="n">
        <f aca="false">BaseRate*(1+'Pay Calculator'!$G$50)+IF('Pay Calculator'!$B$32&lt;76,('Pay Calculator'!$G$51+'Pay Calculator'!$G$52+'Pay Calculator'!$G$53+'Pay Calculator'!$G$54),0)</f>
        <v>47.61</v>
      </c>
      <c r="D24" s="123" t="n">
        <f aca="false">BaseRate*2</f>
        <v>75</v>
      </c>
      <c r="E24" s="123" t="n">
        <f aca="false">BaseRate*2.5</f>
        <v>93.75</v>
      </c>
      <c r="F24" s="123" t="s">
        <v>352</v>
      </c>
    </row>
    <row r="25" customFormat="false" ht="15" hidden="false" customHeight="false" outlineLevel="0" collapsed="false">
      <c r="A25" s="22" t="s">
        <v>353</v>
      </c>
      <c r="B25" s="123" t="s">
        <v>352</v>
      </c>
      <c r="C25" s="123" t="s">
        <v>352</v>
      </c>
      <c r="D25" s="123" t="s">
        <v>352</v>
      </c>
      <c r="E25" s="123" t="s">
        <v>352</v>
      </c>
      <c r="F25" s="123" t="s">
        <v>354</v>
      </c>
    </row>
    <row r="26" customFormat="false" ht="15" hidden="false" customHeight="false" outlineLevel="0" collapsed="false">
      <c r="A26" s="22" t="s">
        <v>355</v>
      </c>
      <c r="B26" s="123" t="n">
        <f aca="false">MAX(0,$B$5+B24-B25)</f>
        <v>4048.6488200000003</v>
      </c>
      <c r="C26" s="123" t="n">
        <f aca="false">MAX(0,$B$5+C24-C25)</f>
        <v>4096.25882</v>
      </c>
      <c r="D26" s="123" t="n">
        <f aca="false">MAX(0,$B$5+D24-D25)</f>
        <v>4123.64882</v>
      </c>
      <c r="E26" s="123" t="n">
        <f aca="false">MAX(0,$B$5+E24-E25)</f>
        <v>4142.39882</v>
      </c>
      <c r="F26" s="123" t="n">
        <f aca="false">MAX(0,$B$5+F24-F25)</f>
        <v>3948.6488200000003</v>
      </c>
    </row>
    <row r="27" customFormat="false" ht="15" hidden="false" customHeight="false" outlineLevel="0" collapsed="false">
      <c r="A27" s="100" t="s">
        <v>356</v>
      </c>
      <c r="B27" s="124" t="n">
        <f aca="false">TRUNC(B26/2,0)</f>
        <v>2024</v>
      </c>
      <c r="C27" s="124" t="n">
        <f aca="false">TRUNC(C26/2,0)</f>
        <v>2048</v>
      </c>
      <c r="D27" s="124" t="n">
        <f aca="false">TRUNC(D26/2,0)</f>
        <v>2061</v>
      </c>
      <c r="E27" s="124" t="n">
        <f aca="false">TRUNC(E26/2,0)</f>
        <v>2071</v>
      </c>
      <c r="F27" s="124" t="n">
        <f aca="false">TRUNC(F26/2,0)</f>
        <v>1974</v>
      </c>
    </row>
    <row r="28" customFormat="false" ht="15" hidden="false" customHeight="false" outlineLevel="0" collapsed="false">
      <c r="A28" s="100" t="s">
        <v>357</v>
      </c>
      <c r="B28" s="125" t="n">
        <f aca="false">B27+0.99</f>
        <v>2024.99</v>
      </c>
      <c r="C28" s="125" t="n">
        <f aca="false">C27+0.99</f>
        <v>2048.99</v>
      </c>
      <c r="D28" s="125" t="n">
        <f aca="false">D27+0.99</f>
        <v>2061.99</v>
      </c>
      <c r="E28" s="125" t="n">
        <f aca="false">E27+0.99</f>
        <v>2071.99</v>
      </c>
      <c r="F28" s="125" t="n">
        <f aca="false">F27+0.99</f>
        <v>1974.99</v>
      </c>
    </row>
    <row r="30" customFormat="false" ht="15" hidden="false" customHeight="false" outlineLevel="0" collapsed="false">
      <c r="A30" s="126" t="s">
        <v>358</v>
      </c>
      <c r="B30" s="127" t="n">
        <f aca="false">ROUND(B$28*VLOOKUP(B$27,LU_Scale1,2)-VLOOKUP(B$27,LU_Scale1,3),0)*2</f>
        <v>1152</v>
      </c>
      <c r="C30" s="127" t="n">
        <f aca="false">ROUND(C$28*VLOOKUP(C$27,LU_Scale1,2)-VLOOKUP(C$27,LU_Scale1,3),0)*2</f>
        <v>1168</v>
      </c>
      <c r="D30" s="127" t="n">
        <f aca="false">ROUND(D$28*VLOOKUP(D$27,LU_Scale1,2)-VLOOKUP(D$27,LU_Scale1,3),0)*2</f>
        <v>1176</v>
      </c>
      <c r="E30" s="127" t="n">
        <f aca="false">ROUND(E$28*VLOOKUP(E$27,LU_Scale1,2)-VLOOKUP(E$27,LU_Scale1,3),0)*2</f>
        <v>1182</v>
      </c>
      <c r="F30" s="127" t="n">
        <f aca="false">ROUND(F$28*VLOOKUP(F$27,LU_Scale1,2)-VLOOKUP(F$27,LU_Scale1,3),0)*2</f>
        <v>1120</v>
      </c>
    </row>
    <row r="31" customFormat="false" ht="15" hidden="false" customHeight="false" outlineLevel="0" collapsed="false">
      <c r="A31" s="126" t="s">
        <v>359</v>
      </c>
      <c r="B31" s="127" t="n">
        <f aca="false">ROUND(B$28*VLOOKUP(B$27,LU_Scale2,2)-VLOOKUP(B$27,LU_Scale2,3),0)*2</f>
        <v>932</v>
      </c>
      <c r="C31" s="127" t="n">
        <f aca="false">ROUND(C$28*VLOOKUP(C$27,LU_Scale2,2)-VLOOKUP(C$27,LU_Scale2,3),0)*2</f>
        <v>948</v>
      </c>
      <c r="D31" s="127" t="n">
        <f aca="false">ROUND(D$28*VLOOKUP(D$27,LU_Scale2,2)-VLOOKUP(D$27,LU_Scale2,3),0)*2</f>
        <v>956</v>
      </c>
      <c r="E31" s="127" t="n">
        <f aca="false">ROUND(E$28*VLOOKUP(E$27,LU_Scale2,2)-VLOOKUP(E$27,LU_Scale2,3),0)*2</f>
        <v>962</v>
      </c>
      <c r="F31" s="127" t="n">
        <f aca="false">ROUND(F$28*VLOOKUP(F$27,LU_Scale2,2)-VLOOKUP(F$27,LU_Scale2,3),0)*2</f>
        <v>900</v>
      </c>
    </row>
    <row r="32" customFormat="false" ht="15" hidden="false" customHeight="false" outlineLevel="0" collapsed="false">
      <c r="A32" s="126" t="s">
        <v>360</v>
      </c>
      <c r="B32" s="127" t="n">
        <f aca="false">ROUND(B$28*VLOOKUP(B$27,LU_Scale3,2)-VLOOKUP(B$27,LU_Scale3,3),0)*2</f>
        <v>1214</v>
      </c>
      <c r="C32" s="127" t="n">
        <f aca="false">ROUND(C$28*VLOOKUP(C$27,LU_Scale3,2)-VLOOKUP(C$27,LU_Scale3,3),0)*2</f>
        <v>1228</v>
      </c>
      <c r="D32" s="127" t="n">
        <f aca="false">ROUND(D$28*VLOOKUP(D$27,LU_Scale3,2)-VLOOKUP(D$27,LU_Scale3,3),0)*2</f>
        <v>1236</v>
      </c>
      <c r="E32" s="127" t="n">
        <f aca="false">ROUND(E$28*VLOOKUP(E$27,LU_Scale3,2)-VLOOKUP(E$27,LU_Scale3,3),0)*2</f>
        <v>1242</v>
      </c>
      <c r="F32" s="127" t="n">
        <f aca="false">ROUND(F$28*VLOOKUP(F$27,LU_Scale3,2)-VLOOKUP(F$27,LU_Scale3,3),0)*2</f>
        <v>1184</v>
      </c>
    </row>
    <row r="33" customFormat="false" ht="15" hidden="false" customHeight="false" outlineLevel="0" collapsed="false">
      <c r="A33" s="126" t="s">
        <v>361</v>
      </c>
      <c r="B33" s="127" t="n">
        <f aca="false">ROUND(B$28*VLOOKUP(B$27,LU_Scale5,2)-VLOOKUP(B$27,LU_Scale5,3),0)*2</f>
        <v>852</v>
      </c>
      <c r="C33" s="127" t="n">
        <f aca="false">ROUND(C$28*VLOOKUP(C$27,LU_Scale5,2)-VLOOKUP(C$27,LU_Scale5,3),0)*2</f>
        <v>866</v>
      </c>
      <c r="D33" s="127" t="n">
        <f aca="false">ROUND(D$28*VLOOKUP(D$27,LU_Scale5,2)-VLOOKUP(D$27,LU_Scale5,3),0)*2</f>
        <v>874</v>
      </c>
      <c r="E33" s="127" t="n">
        <f aca="false">ROUND(E$28*VLOOKUP(E$27,LU_Scale5,2)-VLOOKUP(E$27,LU_Scale5,3),0)*2</f>
        <v>880</v>
      </c>
      <c r="F33" s="127" t="n">
        <f aca="false">ROUND(F$28*VLOOKUP(F$27,LU_Scale5,2)-VLOOKUP(F$27,LU_Scale5,3),0)*2</f>
        <v>822</v>
      </c>
    </row>
    <row r="34" customFormat="false" ht="15" hidden="false" customHeight="false" outlineLevel="0" collapsed="false">
      <c r="A34" s="126" t="s">
        <v>362</v>
      </c>
      <c r="B34" s="127" t="n">
        <f aca="false">ROUND(B$28*VLOOKUP(B$27,LU_Scale6,2)-VLOOKUP(B$27,LU_Scale6,3),0)*2</f>
        <v>892</v>
      </c>
      <c r="C34" s="127" t="n">
        <f aca="false">ROUND(C$28*VLOOKUP(C$27,LU_Scale6,2)-VLOOKUP(C$27,LU_Scale6,3),0)*2</f>
        <v>906</v>
      </c>
      <c r="D34" s="127" t="n">
        <f aca="false">ROUND(D$28*VLOOKUP(D$27,LU_Scale6,2)-VLOOKUP(D$27,LU_Scale6,3),0)*2</f>
        <v>914</v>
      </c>
      <c r="E34" s="127" t="n">
        <f aca="false">ROUND(E$28*VLOOKUP(E$27,LU_Scale6,2)-VLOOKUP(E$27,LU_Scale6,3),0)*2</f>
        <v>922</v>
      </c>
      <c r="F34" s="127" t="n">
        <f aca="false">ROUND(F$28*VLOOKUP(F$27,LU_Scale6,2)-VLOOKUP(F$27,LU_Scale6,3),0)*2</f>
        <v>862</v>
      </c>
    </row>
    <row r="35" customFormat="false" ht="15" hidden="false" customHeight="false" outlineLevel="0" collapsed="false">
      <c r="A35" s="22" t="s">
        <v>363</v>
      </c>
      <c r="B35" s="120" t="n">
        <f aca="false">INDEX(B30:B34,MATCH(ScaleUsed,$A$10:$A$14,0))</f>
        <v>932</v>
      </c>
      <c r="C35" s="120" t="n">
        <f aca="false">INDEX(C30:C34,MATCH(ScaleUsed,$A$10:$A$14,0))</f>
        <v>948</v>
      </c>
      <c r="D35" s="120" t="n">
        <f aca="false">INDEX(D30:D34,MATCH(ScaleUsed,$A$10:$A$14,0))</f>
        <v>956</v>
      </c>
      <c r="E35" s="120" t="n">
        <f aca="false">INDEX(E30:E34,MATCH(ScaleUsed,$A$10:$A$14,0))</f>
        <v>962</v>
      </c>
      <c r="F35" s="120" t="n">
        <f aca="false">INDEX(F30:F34,MATCH(ScaleUsed,$A$10:$A$14,0))</f>
        <v>900</v>
      </c>
    </row>
    <row r="36" customFormat="false" ht="15" hidden="false" customHeight="false" outlineLevel="0" collapsed="false">
      <c r="A36" s="126" t="s">
        <v>364</v>
      </c>
      <c r="B36" s="127" t="n">
        <f aca="false">ROUND(B$28*VLOOKUP(B$27,LU_Scale_HELP_TFTR,2)-VLOOKUP(B$27,LU_Scale_HELP_TFTR,3),0)*2</f>
        <v>206</v>
      </c>
      <c r="C36" s="127" t="n">
        <f aca="false">ROUND(C$28*VLOOKUP(C$27,LU_Scale_HELP_TFTR,2)-VLOOKUP(C$27,LU_Scale_HELP_TFTR,3),0)*2</f>
        <v>214</v>
      </c>
      <c r="D36" s="127" t="n">
        <f aca="false">ROUND(D$28*VLOOKUP(D$27,LU_Scale_HELP_TFTR,2)-VLOOKUP(D$27,LU_Scale_HELP_TFTR,3),0)*2</f>
        <v>218</v>
      </c>
      <c r="E36" s="127" t="n">
        <f aca="false">ROUND(E$28*VLOOKUP(E$27,LU_Scale_HELP_TFTR,2)-VLOOKUP(E$27,LU_Scale_HELP_TFTR,3),0)*2</f>
        <v>220</v>
      </c>
      <c r="F36" s="127" t="n">
        <f aca="false">ROUND(F$28*VLOOKUP(F$27,LU_Scale_HELP_TFTR,2)-VLOOKUP(F$27,LU_Scale_HELP_TFTR,3),0)*2</f>
        <v>192</v>
      </c>
    </row>
    <row r="37" customFormat="false" ht="15" hidden="false" customHeight="false" outlineLevel="0" collapsed="false">
      <c r="A37" s="126" t="s">
        <v>365</v>
      </c>
      <c r="B37" s="127" t="n">
        <f aca="false">ROUND(B$28*VLOOKUP(B$27,LU_Scale_HELP_NTFT,2)-VLOOKUP(B$27,LU_Scale_HELP_NTFT,3),0)*2</f>
        <v>312</v>
      </c>
      <c r="C37" s="127" t="n">
        <f aca="false">ROUND(C$28*VLOOKUP(C$27,LU_Scale_HELP_NTFT,2)-VLOOKUP(C$27,LU_Scale_HELP_NTFT,3),0)*2</f>
        <v>318</v>
      </c>
      <c r="D37" s="127" t="n">
        <f aca="false">ROUND(D$28*VLOOKUP(D$27,LU_Scale_HELP_NTFT,2)-VLOOKUP(D$27,LU_Scale_HELP_NTFT,3),0)*2</f>
        <v>322</v>
      </c>
      <c r="E37" s="127" t="n">
        <f aca="false">ROUND(E$28*VLOOKUP(E$27,LU_Scale_HELP_NTFT,2)-VLOOKUP(E$27,LU_Scale_HELP_NTFT,3),0)*2</f>
        <v>326</v>
      </c>
      <c r="F37" s="127" t="n">
        <f aca="false">ROUND(F$28*VLOOKUP(F$27,LU_Scale_HELP_NTFT,2)-VLOOKUP(F$27,LU_Scale_HELP_NTFT,3),0)*2</f>
        <v>296</v>
      </c>
    </row>
    <row r="38" customFormat="false" ht="15" hidden="false" customHeight="false" outlineLevel="0" collapsed="false">
      <c r="A38" s="22" t="s">
        <v>366</v>
      </c>
      <c r="B38" s="120" t="n">
        <f aca="false">IF(STSLChoice="Yes",IF(ScaleUsed=$A$10,B37,B36),0)</f>
        <v>0</v>
      </c>
      <c r="C38" s="120" t="n">
        <f aca="false">IF(STSLChoice="Yes",IF(ScaleUsed=$A$10,C37,C36),0)</f>
        <v>0</v>
      </c>
      <c r="D38" s="120" t="n">
        <f aca="false">IF(STSLChoice="Yes",IF(ScaleUsed=$A$10,D37,D36),0)</f>
        <v>0</v>
      </c>
      <c r="E38" s="120" t="n">
        <f aca="false">IF(STSLChoice="Yes",IF(ScaleUsed=$A$10,E37,E36),0)</f>
        <v>0</v>
      </c>
      <c r="F38" s="120" t="n">
        <f aca="false">IF(STSLChoice="Yes",IF(ScaleUsed=$A$10,F37,F36),0)</f>
        <v>0</v>
      </c>
    </row>
    <row r="39" customFormat="false" ht="15" hidden="false" customHeight="false" outlineLevel="0" collapsed="false">
      <c r="A39" s="22" t="s">
        <v>367</v>
      </c>
      <c r="B39" s="123" t="n">
        <v>0</v>
      </c>
      <c r="C39" s="123" t="n">
        <f aca="false">MemberPct*BaseRate</f>
        <v>1.875</v>
      </c>
      <c r="D39" s="123" t="n">
        <v>0</v>
      </c>
      <c r="E39" s="123" t="n">
        <v>0</v>
      </c>
      <c r="F39" s="123" t="n">
        <v>0</v>
      </c>
    </row>
    <row r="40" customFormat="false" ht="15" hidden="false" customHeight="false" outlineLevel="0" collapsed="false">
      <c r="A40" s="128" t="s">
        <v>368</v>
      </c>
      <c r="B40" s="129" t="n">
        <f aca="false">(B26-$B$26)-(B35-$B$35)-(B38-$B$38)-B39</f>
        <v>0</v>
      </c>
      <c r="C40" s="129" t="n">
        <f aca="false">(C26-$B$26)-(C35-$B$35)-(C38-$B$38)-C39</f>
        <v>29.734999999999673</v>
      </c>
      <c r="D40" s="129" t="n">
        <f aca="false">(D26-$B$26)-(D35-$B$35)-(D38-$B$38)-D39</f>
        <v>51</v>
      </c>
      <c r="E40" s="129" t="n">
        <f aca="false">(E26-$B$26)-(E35-$B$35)-(E38-$B$38)-E39</f>
        <v>63.75</v>
      </c>
      <c r="F40" s="129" t="n">
        <f aca="false">(F26-$B$26)-(F35-$B$35)-(F38-$B$38)-F39</f>
        <v>-68</v>
      </c>
    </row>
    <row r="43" customFormat="false" ht="19.5" hidden="false" customHeight="true" outlineLevel="0" collapsed="false">
      <c r="A43" s="109" t="s">
        <v>369</v>
      </c>
      <c r="B43" s="109"/>
      <c r="C43" s="109"/>
      <c r="D43" s="109"/>
      <c r="E43" s="109"/>
      <c r="F43" s="109"/>
      <c r="G43" s="109"/>
      <c r="H43" s="109"/>
    </row>
    <row r="44" customFormat="false" ht="15" hidden="false" customHeight="false" outlineLevel="0" collapsed="false">
      <c r="A44" s="99" t="s">
        <v>370</v>
      </c>
    </row>
    <row r="46" customFormat="false" ht="15" hidden="false" customHeight="false" outlineLevel="0" collapsed="false">
      <c r="A46" s="130" t="s">
        <v>371</v>
      </c>
      <c r="B46" s="131" t="s">
        <v>372</v>
      </c>
    </row>
    <row r="47" customFormat="false" ht="15" hidden="false" customHeight="false" outlineLevel="0" collapsed="false">
      <c r="A47" s="132" t="s">
        <v>373</v>
      </c>
      <c r="B47" s="132" t="s">
        <v>332</v>
      </c>
      <c r="C47" s="132" t="s">
        <v>333</v>
      </c>
    </row>
    <row r="48" customFormat="false" ht="15" hidden="false" customHeight="false" outlineLevel="0" collapsed="false">
      <c r="A48" s="133" t="n">
        <v>0</v>
      </c>
      <c r="B48" s="134" t="n">
        <v>0.15</v>
      </c>
      <c r="C48" s="134" t="n">
        <v>0.15</v>
      </c>
    </row>
    <row r="49" customFormat="false" ht="15" hidden="false" customHeight="false" outlineLevel="0" collapsed="false">
      <c r="A49" s="133" t="n">
        <v>188</v>
      </c>
      <c r="B49" s="134" t="n">
        <v>0.2084</v>
      </c>
      <c r="C49" s="134" t="n">
        <v>11.0185</v>
      </c>
    </row>
    <row r="50" customFormat="false" ht="15" hidden="false" customHeight="false" outlineLevel="0" collapsed="false">
      <c r="A50" s="133" t="n">
        <v>371</v>
      </c>
      <c r="B50" s="134" t="n">
        <v>0.179</v>
      </c>
      <c r="C50" s="134" t="n">
        <v>0.1066</v>
      </c>
    </row>
    <row r="51" customFormat="false" ht="15" hidden="false" customHeight="false" outlineLevel="0" collapsed="false">
      <c r="A51" s="133" t="n">
        <v>515</v>
      </c>
      <c r="B51" s="134" t="n">
        <v>0.3227</v>
      </c>
      <c r="C51" s="134" t="n">
        <v>74.1674</v>
      </c>
    </row>
    <row r="52" customFormat="false" ht="15" hidden="false" customHeight="false" outlineLevel="0" collapsed="false">
      <c r="A52" s="133" t="n">
        <v>932</v>
      </c>
      <c r="B52" s="134" t="n">
        <v>0.32</v>
      </c>
      <c r="C52" s="134" t="n">
        <v>71.6508</v>
      </c>
    </row>
    <row r="53" customFormat="false" ht="15" hidden="false" customHeight="false" outlineLevel="0" collapsed="false">
      <c r="A53" s="133" t="n">
        <v>2246</v>
      </c>
      <c r="B53" s="134" t="n">
        <v>0.39</v>
      </c>
      <c r="C53" s="134" t="n">
        <v>228.8816</v>
      </c>
    </row>
    <row r="54" customFormat="false" ht="15" hidden="false" customHeight="false" outlineLevel="0" collapsed="false">
      <c r="A54" s="133" t="n">
        <v>3303</v>
      </c>
      <c r="B54" s="134" t="n">
        <v>0.47</v>
      </c>
      <c r="C54" s="134" t="n">
        <v>493.1893</v>
      </c>
    </row>
    <row r="56" customFormat="false" ht="15" hidden="false" customHeight="false" outlineLevel="0" collapsed="false">
      <c r="A56" s="130" t="s">
        <v>374</v>
      </c>
      <c r="B56" s="131" t="s">
        <v>375</v>
      </c>
    </row>
    <row r="57" customFormat="false" ht="15" hidden="false" customHeight="false" outlineLevel="0" collapsed="false">
      <c r="A57" s="132" t="s">
        <v>373</v>
      </c>
      <c r="B57" s="132" t="s">
        <v>332</v>
      </c>
      <c r="C57" s="132" t="s">
        <v>333</v>
      </c>
    </row>
    <row r="58" customFormat="false" ht="15" hidden="false" customHeight="false" outlineLevel="0" collapsed="false">
      <c r="A58" s="133" t="n">
        <v>0</v>
      </c>
      <c r="B58" s="134" t="n">
        <v>0</v>
      </c>
      <c r="C58" s="134" t="n">
        <v>0</v>
      </c>
    </row>
    <row r="59" customFormat="false" ht="15" hidden="false" customHeight="false" outlineLevel="0" collapsed="false">
      <c r="A59" s="133" t="n">
        <v>362</v>
      </c>
      <c r="B59" s="134" t="n">
        <v>0.15</v>
      </c>
      <c r="C59" s="134" t="n">
        <v>54.3462</v>
      </c>
    </row>
    <row r="60" customFormat="false" ht="15" hidden="false" customHeight="false" outlineLevel="0" collapsed="false">
      <c r="A60" s="133" t="n">
        <v>538</v>
      </c>
      <c r="B60" s="134" t="n">
        <v>0.25</v>
      </c>
      <c r="C60" s="134" t="n">
        <v>108.2135</v>
      </c>
    </row>
    <row r="61" customFormat="false" ht="15" hidden="false" customHeight="false" outlineLevel="0" collapsed="false">
      <c r="A61" s="133" t="n">
        <v>673</v>
      </c>
      <c r="B61" s="134" t="n">
        <v>0.17</v>
      </c>
      <c r="C61" s="134" t="n">
        <v>54.3473</v>
      </c>
    </row>
    <row r="62" customFormat="false" ht="15" hidden="false" customHeight="false" outlineLevel="0" collapsed="false">
      <c r="A62" s="133" t="n">
        <v>721</v>
      </c>
      <c r="B62" s="134" t="n">
        <v>0.179</v>
      </c>
      <c r="C62" s="134" t="n">
        <v>60.8377</v>
      </c>
    </row>
    <row r="63" customFormat="false" ht="15" hidden="false" customHeight="false" outlineLevel="0" collapsed="false">
      <c r="A63" s="133" t="n">
        <v>865</v>
      </c>
      <c r="B63" s="134" t="n">
        <v>0.3227</v>
      </c>
      <c r="C63" s="134" t="n">
        <v>185.1935</v>
      </c>
    </row>
    <row r="64" customFormat="false" ht="15" hidden="false" customHeight="false" outlineLevel="0" collapsed="false">
      <c r="A64" s="133" t="n">
        <v>1282</v>
      </c>
      <c r="B64" s="134" t="n">
        <v>0.32</v>
      </c>
      <c r="C64" s="134" t="n">
        <v>181.7319</v>
      </c>
    </row>
    <row r="65" customFormat="false" ht="15" hidden="false" customHeight="false" outlineLevel="0" collapsed="false">
      <c r="A65" s="133" t="n">
        <v>2596</v>
      </c>
      <c r="B65" s="134" t="n">
        <v>0.39</v>
      </c>
      <c r="C65" s="134" t="n">
        <v>363.4627</v>
      </c>
    </row>
    <row r="66" customFormat="false" ht="15" hidden="false" customHeight="false" outlineLevel="0" collapsed="false">
      <c r="A66" s="133" t="n">
        <v>3653</v>
      </c>
      <c r="B66" s="134" t="n">
        <v>0.47</v>
      </c>
      <c r="C66" s="134" t="n">
        <v>655.7704</v>
      </c>
    </row>
    <row r="68" customFormat="false" ht="15" hidden="false" customHeight="false" outlineLevel="0" collapsed="false">
      <c r="A68" s="130" t="s">
        <v>376</v>
      </c>
      <c r="B68" s="131" t="s">
        <v>377</v>
      </c>
    </row>
    <row r="69" customFormat="false" ht="15" hidden="false" customHeight="false" outlineLevel="0" collapsed="false">
      <c r="A69" s="132" t="s">
        <v>373</v>
      </c>
      <c r="B69" s="132" t="s">
        <v>332</v>
      </c>
      <c r="C69" s="132" t="s">
        <v>333</v>
      </c>
    </row>
    <row r="70" customFormat="false" ht="15" hidden="false" customHeight="false" outlineLevel="0" collapsed="false">
      <c r="A70" s="133" t="n">
        <v>0</v>
      </c>
      <c r="B70" s="134" t="n">
        <v>0.3</v>
      </c>
      <c r="C70" s="134" t="n">
        <v>0.3</v>
      </c>
    </row>
    <row r="71" customFormat="false" ht="15" hidden="false" customHeight="false" outlineLevel="0" collapsed="false">
      <c r="A71" s="133" t="n">
        <v>2596</v>
      </c>
      <c r="B71" s="134" t="n">
        <v>0.37</v>
      </c>
      <c r="C71" s="134" t="n">
        <v>181.7308</v>
      </c>
    </row>
    <row r="72" customFormat="false" ht="15" hidden="false" customHeight="false" outlineLevel="0" collapsed="false">
      <c r="A72" s="133" t="n">
        <v>3653</v>
      </c>
      <c r="B72" s="134" t="n">
        <v>0.45</v>
      </c>
      <c r="C72" s="134" t="n">
        <v>474.0385</v>
      </c>
    </row>
    <row r="74" customFormat="false" ht="15" hidden="false" customHeight="false" outlineLevel="0" collapsed="false">
      <c r="A74" s="130" t="s">
        <v>378</v>
      </c>
      <c r="B74" s="131" t="s">
        <v>379</v>
      </c>
    </row>
    <row r="75" customFormat="false" ht="15" hidden="false" customHeight="false" outlineLevel="0" collapsed="false">
      <c r="A75" s="132" t="s">
        <v>373</v>
      </c>
      <c r="B75" s="132" t="s">
        <v>332</v>
      </c>
      <c r="C75" s="132" t="s">
        <v>333</v>
      </c>
    </row>
    <row r="76" customFormat="false" ht="15" hidden="false" customHeight="false" outlineLevel="0" collapsed="false">
      <c r="A76" s="133" t="n">
        <v>0</v>
      </c>
      <c r="B76" s="134" t="n">
        <v>0</v>
      </c>
      <c r="C76" s="134" t="n">
        <v>0</v>
      </c>
    </row>
    <row r="77" customFormat="false" ht="15" hidden="false" customHeight="false" outlineLevel="0" collapsed="false">
      <c r="A77" s="133" t="n">
        <v>362</v>
      </c>
      <c r="B77" s="134" t="n">
        <v>0.15</v>
      </c>
      <c r="C77" s="134" t="n">
        <v>54.3462</v>
      </c>
    </row>
    <row r="78" customFormat="false" ht="15" hidden="false" customHeight="false" outlineLevel="0" collapsed="false">
      <c r="A78" s="133" t="n">
        <v>721</v>
      </c>
      <c r="B78" s="134" t="n">
        <v>0.159</v>
      </c>
      <c r="C78" s="134" t="n">
        <v>60.8365</v>
      </c>
    </row>
    <row r="79" customFormat="false" ht="15" hidden="false" customHeight="false" outlineLevel="0" collapsed="false">
      <c r="A79" s="133" t="n">
        <v>865</v>
      </c>
      <c r="B79" s="134" t="n">
        <v>0.3027</v>
      </c>
      <c r="C79" s="134" t="n">
        <v>185.1923</v>
      </c>
    </row>
    <row r="80" customFormat="false" ht="15" hidden="false" customHeight="false" outlineLevel="0" collapsed="false">
      <c r="A80" s="133" t="n">
        <v>1282</v>
      </c>
      <c r="B80" s="134" t="n">
        <v>0.3</v>
      </c>
      <c r="C80" s="134" t="n">
        <v>181.7308</v>
      </c>
    </row>
    <row r="81" customFormat="false" ht="15" hidden="false" customHeight="false" outlineLevel="0" collapsed="false">
      <c r="A81" s="133" t="n">
        <v>2596</v>
      </c>
      <c r="B81" s="134" t="n">
        <v>0.37</v>
      </c>
      <c r="C81" s="134" t="n">
        <v>363.4615</v>
      </c>
    </row>
    <row r="82" customFormat="false" ht="15" hidden="false" customHeight="false" outlineLevel="0" collapsed="false">
      <c r="A82" s="133" t="n">
        <v>3653</v>
      </c>
      <c r="B82" s="134" t="n">
        <v>0.45</v>
      </c>
      <c r="C82" s="134" t="n">
        <v>655.7692</v>
      </c>
    </row>
    <row r="84" customFormat="false" ht="15" hidden="false" customHeight="false" outlineLevel="0" collapsed="false">
      <c r="A84" s="130" t="s">
        <v>380</v>
      </c>
      <c r="B84" s="131" t="s">
        <v>381</v>
      </c>
    </row>
    <row r="85" customFormat="false" ht="15" hidden="false" customHeight="false" outlineLevel="0" collapsed="false">
      <c r="A85" s="132" t="s">
        <v>373</v>
      </c>
      <c r="B85" s="132" t="s">
        <v>332</v>
      </c>
      <c r="C85" s="132" t="s">
        <v>333</v>
      </c>
    </row>
    <row r="86" customFormat="false" ht="15" hidden="false" customHeight="false" outlineLevel="0" collapsed="false">
      <c r="A86" s="133" t="n">
        <v>0</v>
      </c>
      <c r="B86" s="134" t="n">
        <v>0</v>
      </c>
      <c r="C86" s="134" t="n">
        <v>0</v>
      </c>
    </row>
    <row r="87" customFormat="false" ht="15" hidden="false" customHeight="false" outlineLevel="0" collapsed="false">
      <c r="A87" s="133" t="n">
        <v>362</v>
      </c>
      <c r="B87" s="134" t="n">
        <v>0.15</v>
      </c>
      <c r="C87" s="134" t="n">
        <v>54.3462</v>
      </c>
    </row>
    <row r="88" customFormat="false" ht="15" hidden="false" customHeight="false" outlineLevel="0" collapsed="false">
      <c r="A88" s="133" t="n">
        <v>721</v>
      </c>
      <c r="B88" s="134" t="n">
        <v>0.159</v>
      </c>
      <c r="C88" s="134" t="n">
        <v>60.8365</v>
      </c>
    </row>
    <row r="89" customFormat="false" ht="15" hidden="false" customHeight="false" outlineLevel="0" collapsed="false">
      <c r="A89" s="133" t="n">
        <v>865</v>
      </c>
      <c r="B89" s="134" t="n">
        <v>0.3027</v>
      </c>
      <c r="C89" s="134" t="n">
        <v>185.1923</v>
      </c>
    </row>
    <row r="90" customFormat="false" ht="15" hidden="false" customHeight="false" outlineLevel="0" collapsed="false">
      <c r="A90" s="133" t="n">
        <v>908</v>
      </c>
      <c r="B90" s="134" t="n">
        <v>0.3527</v>
      </c>
      <c r="C90" s="134" t="n">
        <v>230.6135</v>
      </c>
    </row>
    <row r="91" customFormat="false" ht="15" hidden="false" customHeight="false" outlineLevel="0" collapsed="false">
      <c r="A91" s="133" t="n">
        <v>1135</v>
      </c>
      <c r="B91" s="134" t="n">
        <v>0.3127</v>
      </c>
      <c r="C91" s="134" t="n">
        <v>185.1923</v>
      </c>
    </row>
    <row r="92" customFormat="false" ht="15" hidden="false" customHeight="false" outlineLevel="0" collapsed="false">
      <c r="A92" s="133" t="n">
        <v>1282</v>
      </c>
      <c r="B92" s="134" t="n">
        <v>0.31</v>
      </c>
      <c r="C92" s="134" t="n">
        <v>181.7308</v>
      </c>
    </row>
    <row r="93" customFormat="false" ht="15" hidden="false" customHeight="false" outlineLevel="0" collapsed="false">
      <c r="A93" s="133" t="n">
        <v>2596</v>
      </c>
      <c r="B93" s="134" t="n">
        <v>0.38</v>
      </c>
      <c r="C93" s="134" t="n">
        <v>363.4615</v>
      </c>
    </row>
    <row r="94" customFormat="false" ht="15" hidden="false" customHeight="false" outlineLevel="0" collapsed="false">
      <c r="A94" s="133" t="n">
        <v>3653</v>
      </c>
      <c r="B94" s="134" t="n">
        <v>0.46</v>
      </c>
      <c r="C94" s="134" t="n">
        <v>655.7692</v>
      </c>
    </row>
    <row r="96" customFormat="false" ht="15" hidden="false" customHeight="false" outlineLevel="0" collapsed="false">
      <c r="A96" s="130" t="s">
        <v>382</v>
      </c>
      <c r="B96" s="131" t="s">
        <v>383</v>
      </c>
    </row>
    <row r="97" customFormat="false" ht="15" hidden="false" customHeight="false" outlineLevel="0" collapsed="false">
      <c r="A97" s="132" t="s">
        <v>373</v>
      </c>
      <c r="B97" s="132" t="s">
        <v>332</v>
      </c>
      <c r="C97" s="132" t="s">
        <v>333</v>
      </c>
    </row>
    <row r="98" customFormat="false" ht="15" hidden="false" customHeight="false" outlineLevel="0" collapsed="false">
      <c r="A98" s="133" t="n">
        <v>0</v>
      </c>
      <c r="B98" s="134" t="n">
        <v>0</v>
      </c>
      <c r="C98" s="134" t="n">
        <v>0</v>
      </c>
    </row>
    <row r="99" customFormat="false" ht="15" hidden="false" customHeight="false" outlineLevel="0" collapsed="false">
      <c r="A99" s="133" t="n">
        <v>1337</v>
      </c>
      <c r="B99" s="134" t="n">
        <v>0.15</v>
      </c>
      <c r="C99" s="134" t="n">
        <v>200.5615</v>
      </c>
    </row>
    <row r="100" customFormat="false" ht="15" hidden="false" customHeight="false" outlineLevel="0" collapsed="false">
      <c r="A100" s="133" t="n">
        <v>2494</v>
      </c>
      <c r="B100" s="134" t="n">
        <v>0.17</v>
      </c>
      <c r="C100" s="134" t="n">
        <v>250.4527</v>
      </c>
    </row>
    <row r="101" customFormat="false" ht="15" hidden="false" customHeight="false" outlineLevel="0" collapsed="false">
      <c r="A101" s="133" t="n">
        <v>3577</v>
      </c>
      <c r="B101" s="134" t="n">
        <v>0.1</v>
      </c>
      <c r="C101" s="134" t="n">
        <v>0</v>
      </c>
    </row>
    <row r="103" customFormat="false" ht="15" hidden="false" customHeight="false" outlineLevel="0" collapsed="false">
      <c r="A103" s="130" t="s">
        <v>384</v>
      </c>
      <c r="B103" s="131" t="s">
        <v>385</v>
      </c>
    </row>
    <row r="104" customFormat="false" ht="15" hidden="false" customHeight="false" outlineLevel="0" collapsed="false">
      <c r="A104" s="132" t="s">
        <v>373</v>
      </c>
      <c r="B104" s="132" t="s">
        <v>332</v>
      </c>
      <c r="C104" s="132" t="s">
        <v>333</v>
      </c>
    </row>
    <row r="105" customFormat="false" ht="15" hidden="false" customHeight="false" outlineLevel="0" collapsed="false">
      <c r="A105" s="133" t="n">
        <v>0</v>
      </c>
      <c r="B105" s="134" t="n">
        <v>0</v>
      </c>
      <c r="C105" s="134" t="n">
        <v>0</v>
      </c>
    </row>
    <row r="106" customFormat="false" ht="15" hidden="false" customHeight="false" outlineLevel="0" collapsed="false">
      <c r="A106" s="133" t="n">
        <v>987</v>
      </c>
      <c r="B106" s="134" t="n">
        <v>0.15</v>
      </c>
      <c r="C106" s="134" t="n">
        <v>148.0615</v>
      </c>
    </row>
    <row r="107" customFormat="false" ht="15" hidden="false" customHeight="false" outlineLevel="0" collapsed="false">
      <c r="A107" s="133" t="n">
        <v>2144</v>
      </c>
      <c r="B107" s="134" t="n">
        <v>0.17</v>
      </c>
      <c r="C107" s="134" t="n">
        <v>190.9527</v>
      </c>
    </row>
    <row r="108" customFormat="false" ht="15" hidden="false" customHeight="false" outlineLevel="0" collapsed="false">
      <c r="A108" s="133" t="n">
        <v>2727</v>
      </c>
      <c r="B108" s="134" t="n">
        <v>0.1</v>
      </c>
      <c r="C108" s="134" t="n">
        <v>0</v>
      </c>
    </row>
    <row r="110" customFormat="false" ht="15" hidden="false" customHeight="false" outlineLevel="0" collapsed="false">
      <c r="A110" s="130" t="s">
        <v>386</v>
      </c>
      <c r="B110" s="131" t="s">
        <v>387</v>
      </c>
    </row>
    <row r="111" customFormat="false" ht="15" hidden="false" customHeight="false" outlineLevel="0" collapsed="false">
      <c r="A111" s="132" t="s">
        <v>373</v>
      </c>
      <c r="B111" s="132" t="s">
        <v>332</v>
      </c>
      <c r="C111" s="132" t="s">
        <v>333</v>
      </c>
    </row>
    <row r="112" customFormat="false" ht="15" hidden="false" customHeight="false" outlineLevel="0" collapsed="false">
      <c r="A112" s="133" t="n">
        <v>0</v>
      </c>
      <c r="B112" s="134" t="n">
        <v>0</v>
      </c>
      <c r="C112" s="134" t="n">
        <v>0</v>
      </c>
    </row>
    <row r="113" customFormat="false" ht="15" hidden="false" customHeight="false" outlineLevel="0" collapsed="false">
      <c r="A113" s="133" t="n">
        <v>991</v>
      </c>
      <c r="B113" s="134" t="n">
        <v>0.01</v>
      </c>
      <c r="C113" s="134" t="n">
        <v>0</v>
      </c>
    </row>
    <row r="114" customFormat="false" ht="15" hidden="false" customHeight="false" outlineLevel="0" collapsed="false">
      <c r="A114" s="133" t="n">
        <v>1144</v>
      </c>
      <c r="B114" s="134" t="n">
        <v>0.02</v>
      </c>
      <c r="C114" s="134" t="n">
        <v>0</v>
      </c>
    </row>
    <row r="115" customFormat="false" ht="15" hidden="false" customHeight="false" outlineLevel="0" collapsed="false">
      <c r="A115" s="133" t="n">
        <v>1213</v>
      </c>
      <c r="B115" s="134" t="n">
        <v>0.025</v>
      </c>
      <c r="C115" s="134" t="n">
        <v>0</v>
      </c>
    </row>
    <row r="116" customFormat="false" ht="15" hidden="false" customHeight="false" outlineLevel="0" collapsed="false">
      <c r="A116" s="133" t="n">
        <v>1286</v>
      </c>
      <c r="B116" s="134" t="n">
        <v>0.03</v>
      </c>
      <c r="C116" s="134" t="n">
        <v>0</v>
      </c>
    </row>
    <row r="117" customFormat="false" ht="15" hidden="false" customHeight="false" outlineLevel="0" collapsed="false">
      <c r="A117" s="133" t="n">
        <v>1363</v>
      </c>
      <c r="B117" s="134" t="n">
        <v>0.035</v>
      </c>
      <c r="C117" s="134" t="n">
        <v>0</v>
      </c>
    </row>
    <row r="118" customFormat="false" ht="15" hidden="false" customHeight="false" outlineLevel="0" collapsed="false">
      <c r="A118" s="133" t="n">
        <v>1445</v>
      </c>
      <c r="B118" s="134" t="n">
        <v>0.04</v>
      </c>
      <c r="C118" s="134" t="n">
        <v>0</v>
      </c>
    </row>
    <row r="119" customFormat="false" ht="15" hidden="false" customHeight="false" outlineLevel="0" collapsed="false">
      <c r="A119" s="133" t="n">
        <v>1531</v>
      </c>
      <c r="B119" s="134" t="n">
        <v>0.045</v>
      </c>
      <c r="C119" s="134" t="n">
        <v>0</v>
      </c>
    </row>
    <row r="120" customFormat="false" ht="15" hidden="false" customHeight="false" outlineLevel="0" collapsed="false">
      <c r="A120" s="133" t="n">
        <v>1623</v>
      </c>
      <c r="B120" s="134" t="n">
        <v>0.05</v>
      </c>
      <c r="C120" s="134" t="n">
        <v>0</v>
      </c>
    </row>
    <row r="121" customFormat="false" ht="15" hidden="false" customHeight="false" outlineLevel="0" collapsed="false">
      <c r="A121" s="133" t="n">
        <v>1721</v>
      </c>
      <c r="B121" s="134" t="n">
        <v>0.055</v>
      </c>
      <c r="C121" s="134" t="n">
        <v>0</v>
      </c>
    </row>
    <row r="122" customFormat="false" ht="15" hidden="false" customHeight="false" outlineLevel="0" collapsed="false">
      <c r="A122" s="133" t="n">
        <v>1824</v>
      </c>
      <c r="B122" s="134" t="n">
        <v>0.06</v>
      </c>
      <c r="C122" s="134" t="n">
        <v>0</v>
      </c>
    </row>
    <row r="123" customFormat="false" ht="15" hidden="false" customHeight="false" outlineLevel="0" collapsed="false">
      <c r="A123" s="133" t="n">
        <v>1933</v>
      </c>
      <c r="B123" s="134" t="n">
        <v>0.065</v>
      </c>
      <c r="C123" s="134" t="n">
        <v>0</v>
      </c>
    </row>
    <row r="124" customFormat="false" ht="15" hidden="false" customHeight="false" outlineLevel="0" collapsed="false">
      <c r="A124" s="133" t="n">
        <v>2049</v>
      </c>
      <c r="B124" s="134" t="n">
        <v>0.07</v>
      </c>
      <c r="C124" s="134" t="n">
        <v>0</v>
      </c>
    </row>
    <row r="125" customFormat="false" ht="15" hidden="false" customHeight="false" outlineLevel="0" collapsed="false">
      <c r="A125" s="133" t="n">
        <v>2172</v>
      </c>
      <c r="B125" s="134" t="n">
        <v>0.075</v>
      </c>
      <c r="C125" s="134" t="n">
        <v>0</v>
      </c>
    </row>
    <row r="126" customFormat="false" ht="15" hidden="false" customHeight="false" outlineLevel="0" collapsed="false">
      <c r="A126" s="133" t="n">
        <v>2303</v>
      </c>
      <c r="B126" s="134" t="n">
        <v>0.08</v>
      </c>
      <c r="C126" s="134" t="n">
        <v>0</v>
      </c>
    </row>
    <row r="128" customFormat="false" ht="15" hidden="false" customHeight="false" outlineLevel="0" collapsed="false">
      <c r="A128" s="130" t="s">
        <v>388</v>
      </c>
      <c r="B128" s="131" t="s">
        <v>389</v>
      </c>
    </row>
    <row r="129" customFormat="false" ht="15" hidden="false" customHeight="false" outlineLevel="0" collapsed="false">
      <c r="A129" s="132" t="s">
        <v>373</v>
      </c>
      <c r="B129" s="132" t="s">
        <v>332</v>
      </c>
      <c r="C129" s="132" t="s">
        <v>333</v>
      </c>
    </row>
    <row r="130" customFormat="false" ht="15" hidden="false" customHeight="false" outlineLevel="0" collapsed="false">
      <c r="A130" s="133" t="n">
        <v>0</v>
      </c>
      <c r="B130" s="134" t="n">
        <v>0</v>
      </c>
      <c r="C130" s="134" t="n">
        <v>0</v>
      </c>
    </row>
    <row r="131" customFormat="false" ht="15" hidden="false" customHeight="false" outlineLevel="0" collapsed="false">
      <c r="A131" s="133" t="n">
        <v>641</v>
      </c>
      <c r="B131" s="134" t="n">
        <v>0.01</v>
      </c>
      <c r="C131" s="134" t="n">
        <v>0</v>
      </c>
    </row>
    <row r="132" customFormat="false" ht="15" hidden="false" customHeight="false" outlineLevel="0" collapsed="false">
      <c r="A132" s="133" t="n">
        <v>794</v>
      </c>
      <c r="B132" s="134" t="n">
        <v>0.02</v>
      </c>
      <c r="C132" s="134" t="n">
        <v>0</v>
      </c>
    </row>
    <row r="133" customFormat="false" ht="15" hidden="false" customHeight="false" outlineLevel="0" collapsed="false">
      <c r="A133" s="133" t="n">
        <v>863</v>
      </c>
      <c r="B133" s="134" t="n">
        <v>0.025</v>
      </c>
      <c r="C133" s="134" t="n">
        <v>0</v>
      </c>
    </row>
    <row r="134" customFormat="false" ht="15" hidden="false" customHeight="false" outlineLevel="0" collapsed="false">
      <c r="A134" s="133" t="n">
        <v>936</v>
      </c>
      <c r="B134" s="134" t="n">
        <v>0.03</v>
      </c>
      <c r="C134" s="134" t="n">
        <v>0</v>
      </c>
    </row>
    <row r="135" customFormat="false" ht="15" hidden="false" customHeight="false" outlineLevel="0" collapsed="false">
      <c r="A135" s="133" t="n">
        <v>1013</v>
      </c>
      <c r="B135" s="134" t="n">
        <v>0.035</v>
      </c>
      <c r="C135" s="134" t="n">
        <v>0</v>
      </c>
    </row>
    <row r="136" customFormat="false" ht="15" hidden="false" customHeight="false" outlineLevel="0" collapsed="false">
      <c r="A136" s="133" t="n">
        <v>1095</v>
      </c>
      <c r="B136" s="134" t="n">
        <v>0.04</v>
      </c>
      <c r="C136" s="134" t="n">
        <v>0</v>
      </c>
    </row>
    <row r="137" customFormat="false" ht="15" hidden="false" customHeight="false" outlineLevel="0" collapsed="false">
      <c r="A137" s="133" t="n">
        <v>1181</v>
      </c>
      <c r="B137" s="134" t="n">
        <v>0.045</v>
      </c>
      <c r="C137" s="134" t="n">
        <v>0</v>
      </c>
    </row>
    <row r="138" customFormat="false" ht="15" hidden="false" customHeight="false" outlineLevel="0" collapsed="false">
      <c r="A138" s="133" t="n">
        <v>1273</v>
      </c>
      <c r="B138" s="134" t="n">
        <v>0.05</v>
      </c>
      <c r="C138" s="134" t="n">
        <v>0</v>
      </c>
    </row>
    <row r="139" customFormat="false" ht="15" hidden="false" customHeight="false" outlineLevel="0" collapsed="false">
      <c r="A139" s="133" t="n">
        <v>1371</v>
      </c>
      <c r="B139" s="134" t="n">
        <v>0.055</v>
      </c>
      <c r="C139" s="134" t="n">
        <v>0</v>
      </c>
    </row>
    <row r="140" customFormat="false" ht="15" hidden="false" customHeight="false" outlineLevel="0" collapsed="false">
      <c r="A140" s="133" t="n">
        <v>1474</v>
      </c>
      <c r="B140" s="134" t="n">
        <v>0.06</v>
      </c>
      <c r="C140" s="134" t="n">
        <v>0</v>
      </c>
    </row>
    <row r="141" customFormat="false" ht="15" hidden="false" customHeight="false" outlineLevel="0" collapsed="false">
      <c r="A141" s="133" t="n">
        <v>1583</v>
      </c>
      <c r="B141" s="134" t="n">
        <v>0.065</v>
      </c>
      <c r="C141" s="134" t="n">
        <v>0</v>
      </c>
    </row>
    <row r="142" customFormat="false" ht="15" hidden="false" customHeight="false" outlineLevel="0" collapsed="false">
      <c r="A142" s="133" t="n">
        <v>1699</v>
      </c>
      <c r="B142" s="134" t="n">
        <v>0.07</v>
      </c>
      <c r="C142" s="134" t="n">
        <v>0</v>
      </c>
    </row>
    <row r="143" customFormat="false" ht="15" hidden="false" customHeight="false" outlineLevel="0" collapsed="false">
      <c r="A143" s="133" t="n">
        <v>1822</v>
      </c>
      <c r="B143" s="134" t="n">
        <v>0.075</v>
      </c>
      <c r="C143" s="134" t="n">
        <v>0</v>
      </c>
    </row>
    <row r="144" customFormat="false" ht="15" hidden="false" customHeight="false" outlineLevel="0" collapsed="false">
      <c r="A144" s="133" t="n">
        <v>1953</v>
      </c>
      <c r="B144" s="134" t="n">
        <v>0.08</v>
      </c>
      <c r="C144" s="134" t="n">
        <v>0</v>
      </c>
    </row>
    <row r="146" customFormat="false" ht="15" hidden="false" customHeight="false" outlineLevel="0" collapsed="false">
      <c r="A146" s="130" t="s">
        <v>390</v>
      </c>
      <c r="B146" s="131" t="s">
        <v>391</v>
      </c>
    </row>
    <row r="147" customFormat="false" ht="15" hidden="false" customHeight="false" outlineLevel="0" collapsed="false">
      <c r="A147" s="132" t="s">
        <v>373</v>
      </c>
      <c r="B147" s="132" t="s">
        <v>332</v>
      </c>
      <c r="C147" s="132" t="s">
        <v>333</v>
      </c>
    </row>
    <row r="148" customFormat="false" ht="15" hidden="false" customHeight="false" outlineLevel="0" collapsed="false">
      <c r="A148" s="133" t="n">
        <v>0</v>
      </c>
      <c r="B148" s="134" t="n">
        <v>0</v>
      </c>
      <c r="C148" s="134" t="n">
        <v>0</v>
      </c>
    </row>
    <row r="149" customFormat="false" ht="15" hidden="false" customHeight="false" outlineLevel="0" collapsed="false">
      <c r="A149" s="133" t="n">
        <v>1110</v>
      </c>
      <c r="B149" s="134" t="n">
        <v>0</v>
      </c>
      <c r="C149" s="134" t="n">
        <v>0</v>
      </c>
    </row>
    <row r="150" customFormat="false" ht="15" hidden="false" customHeight="false" outlineLevel="0" collapsed="false">
      <c r="A150" s="133" t="n">
        <v>1363</v>
      </c>
      <c r="B150" s="134" t="n">
        <v>0</v>
      </c>
      <c r="C150" s="134" t="n">
        <v>0</v>
      </c>
    </row>
    <row r="151" customFormat="false" ht="15" hidden="false" customHeight="false" outlineLevel="0" collapsed="false">
      <c r="A151" s="133" t="n">
        <v>1934</v>
      </c>
      <c r="B151" s="134" t="n">
        <v>0</v>
      </c>
      <c r="C151" s="134" t="n">
        <v>0</v>
      </c>
    </row>
    <row r="153" customFormat="false" ht="15" hidden="false" customHeight="false" outlineLevel="0" collapsed="false">
      <c r="A153" s="130" t="s">
        <v>392</v>
      </c>
      <c r="B153" s="131" t="s">
        <v>393</v>
      </c>
    </row>
    <row r="154" customFormat="false" ht="15" hidden="false" customHeight="false" outlineLevel="0" collapsed="false">
      <c r="A154" s="132" t="s">
        <v>373</v>
      </c>
      <c r="B154" s="132" t="s">
        <v>332</v>
      </c>
      <c r="C154" s="132" t="s">
        <v>333</v>
      </c>
    </row>
    <row r="155" customFormat="false" ht="15" hidden="false" customHeight="false" outlineLevel="0" collapsed="false">
      <c r="A155" s="133" t="n">
        <v>0</v>
      </c>
      <c r="B155" s="134" t="n">
        <v>0</v>
      </c>
      <c r="C155" s="134" t="n">
        <v>0</v>
      </c>
    </row>
    <row r="156" customFormat="false" ht="15" hidden="false" customHeight="false" outlineLevel="0" collapsed="false">
      <c r="A156" s="133" t="n">
        <v>760</v>
      </c>
      <c r="B156" s="134" t="n">
        <v>0</v>
      </c>
      <c r="C156" s="134" t="n">
        <v>0</v>
      </c>
    </row>
    <row r="157" customFormat="false" ht="15" hidden="false" customHeight="false" outlineLevel="0" collapsed="false">
      <c r="A157" s="133" t="n">
        <v>1013</v>
      </c>
      <c r="B157" s="134" t="n">
        <v>0</v>
      </c>
      <c r="C157" s="134" t="n">
        <v>0</v>
      </c>
    </row>
    <row r="158" customFormat="false" ht="15" hidden="false" customHeight="false" outlineLevel="0" collapsed="false">
      <c r="A158" s="133" t="n">
        <v>1584</v>
      </c>
      <c r="B158" s="134" t="n">
        <v>0</v>
      </c>
      <c r="C158" s="134" t="n">
        <v>0</v>
      </c>
    </row>
    <row r="160" customFormat="false" ht="15" hidden="false" customHeight="false" outlineLevel="0" collapsed="false">
      <c r="A160" s="130" t="s">
        <v>394</v>
      </c>
      <c r="B160" s="131" t="s">
        <v>395</v>
      </c>
    </row>
    <row r="161" customFormat="false" ht="15" hidden="false" customHeight="false" outlineLevel="0" collapsed="false">
      <c r="A161" s="132" t="s">
        <v>373</v>
      </c>
      <c r="B161" s="132" t="s">
        <v>332</v>
      </c>
      <c r="C161" s="132" t="s">
        <v>333</v>
      </c>
    </row>
    <row r="162" customFormat="false" ht="15" hidden="false" customHeight="false" outlineLevel="0" collapsed="false">
      <c r="A162" s="133" t="n">
        <v>0</v>
      </c>
      <c r="B162" s="134" t="n">
        <v>0</v>
      </c>
      <c r="C162" s="134" t="n">
        <v>0</v>
      </c>
    </row>
    <row r="163" customFormat="false" ht="15" hidden="false" customHeight="false" outlineLevel="0" collapsed="false">
      <c r="A163" s="133" t="n">
        <v>629</v>
      </c>
      <c r="B163" s="134" t="n">
        <v>0.16</v>
      </c>
      <c r="C163" s="134" t="n">
        <v>100.7308</v>
      </c>
    </row>
    <row r="164" customFormat="false" ht="15" hidden="false" customHeight="false" outlineLevel="0" collapsed="false">
      <c r="A164" s="133" t="n">
        <v>671</v>
      </c>
      <c r="B164" s="134" t="n">
        <v>0.285</v>
      </c>
      <c r="C164" s="134" t="n">
        <v>184.6707</v>
      </c>
    </row>
    <row r="165" customFormat="false" ht="15" hidden="false" customHeight="false" outlineLevel="0" collapsed="false">
      <c r="A165" s="133" t="n">
        <v>721</v>
      </c>
      <c r="B165" s="134" t="n">
        <v>0.294</v>
      </c>
      <c r="C165" s="134" t="n">
        <v>191.1611</v>
      </c>
    </row>
    <row r="166" customFormat="false" ht="15" hidden="false" customHeight="false" outlineLevel="0" collapsed="false">
      <c r="A166" s="133" t="n">
        <v>790</v>
      </c>
      <c r="B166" s="134" t="n">
        <v>0.394</v>
      </c>
      <c r="C166" s="134" t="n">
        <v>270.1784</v>
      </c>
    </row>
    <row r="167" customFormat="false" ht="15" hidden="false" customHeight="false" outlineLevel="0" collapsed="false">
      <c r="A167" s="133" t="n">
        <v>865</v>
      </c>
      <c r="B167" s="134" t="n">
        <v>0.5277</v>
      </c>
      <c r="C167" s="134" t="n">
        <v>385.8803</v>
      </c>
    </row>
    <row r="168" customFormat="false" ht="15" hidden="false" customHeight="false" outlineLevel="0" collapsed="false">
      <c r="A168" s="133" t="n">
        <v>987</v>
      </c>
      <c r="B168" s="134" t="n">
        <v>0.4477</v>
      </c>
      <c r="C168" s="134" t="n">
        <v>306.863</v>
      </c>
    </row>
    <row r="169" customFormat="false" ht="15" hidden="false" customHeight="false" outlineLevel="0" collapsed="false">
      <c r="A169" s="133" t="n">
        <v>1014</v>
      </c>
      <c r="B169" s="134" t="n">
        <v>0.3227</v>
      </c>
      <c r="C169" s="134" t="n">
        <v>180.0385</v>
      </c>
    </row>
    <row r="170" customFormat="false" ht="15" hidden="false" customHeight="false" outlineLevel="0" collapsed="false">
      <c r="A170" s="133" t="n">
        <v>1282</v>
      </c>
      <c r="B170" s="134" t="n">
        <v>0.32</v>
      </c>
      <c r="C170" s="134" t="n">
        <v>176.5769</v>
      </c>
    </row>
    <row r="171" customFormat="false" ht="15" hidden="false" customHeight="false" outlineLevel="0" collapsed="false">
      <c r="A171" s="133" t="n">
        <v>2596</v>
      </c>
      <c r="B171" s="134" t="n">
        <v>0.39</v>
      </c>
      <c r="C171" s="134" t="n">
        <v>358.3077</v>
      </c>
    </row>
    <row r="173" customFormat="false" ht="15" hidden="false" customHeight="false" outlineLevel="0" collapsed="false">
      <c r="A173" s="130" t="s">
        <v>396</v>
      </c>
      <c r="B173" s="131" t="s">
        <v>397</v>
      </c>
    </row>
    <row r="174" customFormat="false" ht="15" hidden="false" customHeight="false" outlineLevel="0" collapsed="false">
      <c r="A174" s="132" t="s">
        <v>373</v>
      </c>
      <c r="B174" s="132" t="s">
        <v>332</v>
      </c>
      <c r="C174" s="132" t="s">
        <v>333</v>
      </c>
    </row>
    <row r="175" customFormat="false" ht="15" hidden="false" customHeight="false" outlineLevel="0" collapsed="false">
      <c r="A175" s="133" t="n">
        <v>0</v>
      </c>
      <c r="B175" s="134" t="n">
        <v>0</v>
      </c>
      <c r="C175" s="134" t="n">
        <v>0</v>
      </c>
    </row>
    <row r="176" customFormat="false" ht="15" hidden="false" customHeight="false" outlineLevel="0" collapsed="false">
      <c r="A176" s="133" t="n">
        <v>629</v>
      </c>
      <c r="B176" s="134" t="n">
        <v>0.16</v>
      </c>
      <c r="C176" s="134" t="n">
        <v>100.7308</v>
      </c>
    </row>
    <row r="177" customFormat="false" ht="15" hidden="false" customHeight="false" outlineLevel="0" collapsed="false">
      <c r="A177" s="133" t="n">
        <v>671</v>
      </c>
      <c r="B177" s="134" t="n">
        <v>0.285</v>
      </c>
      <c r="C177" s="134" t="n">
        <v>184.6707</v>
      </c>
    </row>
    <row r="178" customFormat="false" ht="15" hidden="false" customHeight="false" outlineLevel="0" collapsed="false">
      <c r="A178" s="133" t="n">
        <v>721</v>
      </c>
      <c r="B178" s="134" t="n">
        <v>0.294</v>
      </c>
      <c r="C178" s="134" t="n">
        <v>191.1611</v>
      </c>
    </row>
    <row r="179" customFormat="false" ht="15" hidden="false" customHeight="false" outlineLevel="0" collapsed="false">
      <c r="A179" s="133" t="n">
        <v>865</v>
      </c>
      <c r="B179" s="134" t="n">
        <v>0.4277</v>
      </c>
      <c r="C179" s="134" t="n">
        <v>306.863</v>
      </c>
    </row>
    <row r="180" customFormat="false" ht="15" hidden="false" customHeight="false" outlineLevel="0" collapsed="false">
      <c r="A180" s="133" t="n">
        <v>1014</v>
      </c>
      <c r="B180" s="134" t="n">
        <v>0.3027</v>
      </c>
      <c r="C180" s="134" t="n">
        <v>180.0385</v>
      </c>
    </row>
    <row r="181" customFormat="false" ht="15" hidden="false" customHeight="false" outlineLevel="0" collapsed="false">
      <c r="A181" s="133" t="n">
        <v>1282</v>
      </c>
      <c r="B181" s="134" t="n">
        <v>0.3</v>
      </c>
      <c r="C181" s="134" t="n">
        <v>176.5769</v>
      </c>
    </row>
    <row r="182" customFormat="false" ht="15" hidden="false" customHeight="false" outlineLevel="0" collapsed="false">
      <c r="A182" s="133" t="n">
        <v>2596</v>
      </c>
      <c r="B182" s="134" t="n">
        <v>0.37</v>
      </c>
      <c r="C182" s="134" t="n">
        <v>358.3077</v>
      </c>
    </row>
    <row r="183" customFormat="false" ht="15" hidden="false" customHeight="false" outlineLevel="0" collapsed="false">
      <c r="A183" s="133" t="n">
        <v>3653</v>
      </c>
      <c r="B183" s="134" t="n">
        <v>0.45</v>
      </c>
      <c r="C183" s="134" t="n">
        <v>650.6154</v>
      </c>
    </row>
    <row r="185" customFormat="false" ht="15" hidden="false" customHeight="false" outlineLevel="0" collapsed="false">
      <c r="A185" s="130" t="s">
        <v>398</v>
      </c>
      <c r="B185" s="131" t="s">
        <v>399</v>
      </c>
    </row>
    <row r="186" customFormat="false" ht="15" hidden="false" customHeight="false" outlineLevel="0" collapsed="false">
      <c r="A186" s="132" t="s">
        <v>373</v>
      </c>
      <c r="B186" s="132" t="s">
        <v>332</v>
      </c>
      <c r="C186" s="132" t="s">
        <v>333</v>
      </c>
    </row>
    <row r="187" customFormat="false" ht="15" hidden="false" customHeight="false" outlineLevel="0" collapsed="false">
      <c r="A187" s="133" t="n">
        <v>0</v>
      </c>
      <c r="B187" s="134" t="n">
        <v>0</v>
      </c>
      <c r="C187" s="134" t="n">
        <v>0</v>
      </c>
    </row>
    <row r="188" customFormat="false" ht="15" hidden="false" customHeight="false" outlineLevel="0" collapsed="false">
      <c r="A188" s="133" t="n">
        <v>629</v>
      </c>
      <c r="B188" s="134" t="n">
        <v>0.16</v>
      </c>
      <c r="C188" s="134" t="n">
        <v>100.7308</v>
      </c>
    </row>
    <row r="189" customFormat="false" ht="15" hidden="false" customHeight="false" outlineLevel="0" collapsed="false">
      <c r="A189" s="133" t="n">
        <v>671</v>
      </c>
      <c r="B189" s="134" t="n">
        <v>0.285</v>
      </c>
      <c r="C189" s="134" t="n">
        <v>184.6707</v>
      </c>
    </row>
    <row r="190" customFormat="false" ht="15" hidden="false" customHeight="false" outlineLevel="0" collapsed="false">
      <c r="A190" s="133" t="n">
        <v>721</v>
      </c>
      <c r="B190" s="134" t="n">
        <v>0.294</v>
      </c>
      <c r="C190" s="134" t="n">
        <v>191.1611</v>
      </c>
    </row>
    <row r="191" customFormat="false" ht="15" hidden="false" customHeight="false" outlineLevel="0" collapsed="false">
      <c r="A191" s="133" t="n">
        <v>865</v>
      </c>
      <c r="B191" s="134" t="n">
        <v>0.4277</v>
      </c>
      <c r="C191" s="134" t="n">
        <v>306.863</v>
      </c>
    </row>
    <row r="192" customFormat="false" ht="15" hidden="false" customHeight="false" outlineLevel="0" collapsed="false">
      <c r="A192" s="133" t="n">
        <v>1014</v>
      </c>
      <c r="B192" s="134" t="n">
        <v>0.3027</v>
      </c>
      <c r="C192" s="134" t="n">
        <v>180.0385</v>
      </c>
    </row>
    <row r="193" customFormat="false" ht="15" hidden="false" customHeight="false" outlineLevel="0" collapsed="false">
      <c r="A193" s="133" t="n">
        <v>1099</v>
      </c>
      <c r="B193" s="134" t="n">
        <v>0.3527</v>
      </c>
      <c r="C193" s="134" t="n">
        <v>235.0365</v>
      </c>
    </row>
    <row r="194" customFormat="false" ht="15" hidden="false" customHeight="false" outlineLevel="0" collapsed="false">
      <c r="A194" s="133" t="n">
        <v>1282</v>
      </c>
      <c r="B194" s="134" t="n">
        <v>0.35</v>
      </c>
      <c r="C194" s="134" t="n">
        <v>231.575</v>
      </c>
    </row>
    <row r="195" customFormat="false" ht="15" hidden="false" customHeight="false" outlineLevel="0" collapsed="false">
      <c r="A195" s="133" t="n">
        <v>1374</v>
      </c>
      <c r="B195" s="134" t="n">
        <v>0.31</v>
      </c>
      <c r="C195" s="134" t="n">
        <v>176.5769</v>
      </c>
    </row>
    <row r="196" customFormat="false" ht="15" hidden="false" customHeight="false" outlineLevel="0" collapsed="false">
      <c r="A196" s="133" t="n">
        <v>2596</v>
      </c>
      <c r="B196" s="134" t="n">
        <v>0.38</v>
      </c>
      <c r="C196" s="134" t="n">
        <v>358.3077</v>
      </c>
    </row>
    <row r="198" customFormat="false" ht="15" hidden="false" customHeight="false" outlineLevel="0" collapsed="false">
      <c r="A198" s="130" t="s">
        <v>400</v>
      </c>
      <c r="B198" s="131" t="s">
        <v>401</v>
      </c>
    </row>
    <row r="199" customFormat="false" ht="15" hidden="false" customHeight="false" outlineLevel="0" collapsed="false">
      <c r="A199" s="132" t="s">
        <v>373</v>
      </c>
      <c r="B199" s="132" t="s">
        <v>332</v>
      </c>
      <c r="C199" s="132" t="s">
        <v>333</v>
      </c>
    </row>
    <row r="200" customFormat="false" ht="15" hidden="false" customHeight="false" outlineLevel="0" collapsed="false">
      <c r="A200" s="133" t="n">
        <v>0</v>
      </c>
      <c r="B200" s="134" t="n">
        <v>0</v>
      </c>
      <c r="C200" s="134" t="n">
        <v>0</v>
      </c>
    </row>
    <row r="201" customFormat="false" ht="15" hidden="false" customHeight="false" outlineLevel="0" collapsed="false">
      <c r="A201" s="133" t="n">
        <v>606</v>
      </c>
      <c r="B201" s="134" t="n">
        <v>0.16</v>
      </c>
      <c r="C201" s="134" t="n">
        <v>97.0769</v>
      </c>
    </row>
    <row r="202" customFormat="false" ht="15" hidden="false" customHeight="false" outlineLevel="0" collapsed="false">
      <c r="A202" s="133" t="n">
        <v>648</v>
      </c>
      <c r="B202" s="134" t="n">
        <v>0.285</v>
      </c>
      <c r="C202" s="134" t="n">
        <v>178.1635</v>
      </c>
    </row>
    <row r="203" customFormat="false" ht="15" hidden="false" customHeight="false" outlineLevel="0" collapsed="false">
      <c r="A203" s="133" t="n">
        <v>721</v>
      </c>
      <c r="B203" s="134" t="n">
        <v>0.294</v>
      </c>
      <c r="C203" s="134" t="n">
        <v>184.6538</v>
      </c>
    </row>
    <row r="204" customFormat="false" ht="15" hidden="false" customHeight="false" outlineLevel="0" collapsed="false">
      <c r="A204" s="133" t="n">
        <v>790</v>
      </c>
      <c r="B204" s="134" t="n">
        <v>0.394</v>
      </c>
      <c r="C204" s="134" t="n">
        <v>263.6712</v>
      </c>
    </row>
    <row r="205" customFormat="false" ht="15" hidden="false" customHeight="false" outlineLevel="0" collapsed="false">
      <c r="A205" s="133" t="n">
        <v>865</v>
      </c>
      <c r="B205" s="134" t="n">
        <v>0.5277</v>
      </c>
      <c r="C205" s="134" t="n">
        <v>379.3731</v>
      </c>
    </row>
    <row r="206" customFormat="false" ht="15" hidden="false" customHeight="false" outlineLevel="0" collapsed="false">
      <c r="A206" s="133" t="n">
        <v>962</v>
      </c>
      <c r="B206" s="134" t="n">
        <v>0.4027</v>
      </c>
      <c r="C206" s="134" t="n">
        <v>259.0558</v>
      </c>
    </row>
    <row r="207" customFormat="false" ht="15" hidden="false" customHeight="false" outlineLevel="0" collapsed="false">
      <c r="A207" s="133" t="n">
        <v>987</v>
      </c>
      <c r="B207" s="134" t="n">
        <v>0.3227</v>
      </c>
      <c r="C207" s="134" t="n">
        <v>180.0385</v>
      </c>
    </row>
    <row r="208" customFormat="false" ht="15" hidden="false" customHeight="false" outlineLevel="0" collapsed="false">
      <c r="A208" s="133" t="n">
        <v>1282</v>
      </c>
      <c r="B208" s="134" t="n">
        <v>0.32</v>
      </c>
      <c r="C208" s="134" t="n">
        <v>176.5769</v>
      </c>
    </row>
    <row r="209" customFormat="false" ht="15" hidden="false" customHeight="false" outlineLevel="0" collapsed="false">
      <c r="A209" s="133" t="n">
        <v>2596</v>
      </c>
      <c r="B209" s="134" t="n">
        <v>0.39</v>
      </c>
      <c r="C209" s="134" t="n">
        <v>358.3077</v>
      </c>
    </row>
    <row r="210" customFormat="false" ht="15" hidden="false" customHeight="false" outlineLevel="0" collapsed="false">
      <c r="A210" s="133" t="n">
        <v>3653</v>
      </c>
      <c r="B210" s="134" t="n">
        <v>0.47</v>
      </c>
      <c r="C210" s="134" t="n">
        <v>650.6154</v>
      </c>
    </row>
    <row r="212" customFormat="false" ht="15" hidden="false" customHeight="false" outlineLevel="0" collapsed="false">
      <c r="A212" s="130" t="s">
        <v>402</v>
      </c>
      <c r="B212" s="131" t="s">
        <v>403</v>
      </c>
    </row>
    <row r="213" customFormat="false" ht="15" hidden="false" customHeight="false" outlineLevel="0" collapsed="false">
      <c r="A213" s="132" t="s">
        <v>373</v>
      </c>
      <c r="B213" s="132" t="s">
        <v>332</v>
      </c>
      <c r="C213" s="132" t="s">
        <v>333</v>
      </c>
    </row>
    <row r="214" customFormat="false" ht="15" hidden="false" customHeight="false" outlineLevel="0" collapsed="false">
      <c r="A214" s="133" t="n">
        <v>0</v>
      </c>
      <c r="B214" s="134" t="n">
        <v>0</v>
      </c>
      <c r="C214" s="134" t="n">
        <v>0</v>
      </c>
    </row>
    <row r="215" customFormat="false" ht="15" hidden="false" customHeight="false" outlineLevel="0" collapsed="false">
      <c r="A215" s="133" t="n">
        <v>606</v>
      </c>
      <c r="B215" s="134" t="n">
        <v>0.16</v>
      </c>
      <c r="C215" s="134" t="n">
        <v>97.0769</v>
      </c>
    </row>
    <row r="216" customFormat="false" ht="15" hidden="false" customHeight="false" outlineLevel="0" collapsed="false">
      <c r="A216" s="133" t="n">
        <v>648</v>
      </c>
      <c r="B216" s="134" t="n">
        <v>0.285</v>
      </c>
      <c r="C216" s="134" t="n">
        <v>178.1635</v>
      </c>
    </row>
    <row r="217" customFormat="false" ht="15" hidden="false" customHeight="false" outlineLevel="0" collapsed="false">
      <c r="A217" s="133" t="n">
        <v>721</v>
      </c>
      <c r="B217" s="134" t="n">
        <v>0.294</v>
      </c>
      <c r="C217" s="134" t="n">
        <v>184.6538</v>
      </c>
    </row>
    <row r="218" customFormat="false" ht="15" hidden="false" customHeight="false" outlineLevel="0" collapsed="false">
      <c r="A218" s="133" t="n">
        <v>865</v>
      </c>
      <c r="B218" s="134" t="n">
        <v>0.4277</v>
      </c>
      <c r="C218" s="134" t="n">
        <v>300.3558</v>
      </c>
    </row>
    <row r="219" customFormat="false" ht="15" hidden="false" customHeight="false" outlineLevel="0" collapsed="false">
      <c r="A219" s="133" t="n">
        <v>962</v>
      </c>
      <c r="B219" s="134" t="n">
        <v>0.3027</v>
      </c>
      <c r="C219" s="134" t="n">
        <v>180.0385</v>
      </c>
    </row>
    <row r="220" customFormat="false" ht="15" hidden="false" customHeight="false" outlineLevel="0" collapsed="false">
      <c r="A220" s="133" t="n">
        <v>1282</v>
      </c>
      <c r="B220" s="134" t="n">
        <v>0.3</v>
      </c>
      <c r="C220" s="134" t="n">
        <v>176.5769</v>
      </c>
    </row>
    <row r="221" customFormat="false" ht="15" hidden="false" customHeight="false" outlineLevel="0" collapsed="false">
      <c r="A221" s="133" t="n">
        <v>2596</v>
      </c>
      <c r="B221" s="134" t="n">
        <v>0.37</v>
      </c>
      <c r="C221" s="134" t="n">
        <v>358.3077</v>
      </c>
    </row>
    <row r="222" customFormat="false" ht="15" hidden="false" customHeight="false" outlineLevel="0" collapsed="false">
      <c r="A222" s="133" t="n">
        <v>3653</v>
      </c>
      <c r="B222" s="134" t="n">
        <v>0.45</v>
      </c>
      <c r="C222" s="134" t="n">
        <v>650.6154</v>
      </c>
    </row>
    <row r="224" customFormat="false" ht="15" hidden="false" customHeight="false" outlineLevel="0" collapsed="false">
      <c r="A224" s="130" t="s">
        <v>404</v>
      </c>
      <c r="B224" s="131" t="s">
        <v>405</v>
      </c>
    </row>
    <row r="225" customFormat="false" ht="15" hidden="false" customHeight="false" outlineLevel="0" collapsed="false">
      <c r="A225" s="132" t="s">
        <v>373</v>
      </c>
      <c r="B225" s="132" t="s">
        <v>332</v>
      </c>
      <c r="C225" s="132" t="s">
        <v>333</v>
      </c>
    </row>
    <row r="226" customFormat="false" ht="15" hidden="false" customHeight="false" outlineLevel="0" collapsed="false">
      <c r="A226" s="133" t="n">
        <v>0</v>
      </c>
      <c r="B226" s="134" t="n">
        <v>0</v>
      </c>
      <c r="C226" s="134" t="n">
        <v>0</v>
      </c>
    </row>
    <row r="227" customFormat="false" ht="15" hidden="false" customHeight="false" outlineLevel="0" collapsed="false">
      <c r="A227" s="133" t="n">
        <v>606</v>
      </c>
      <c r="B227" s="134" t="n">
        <v>0.16</v>
      </c>
      <c r="C227" s="134" t="n">
        <v>97.0769</v>
      </c>
    </row>
    <row r="228" customFormat="false" ht="15" hidden="false" customHeight="false" outlineLevel="0" collapsed="false">
      <c r="A228" s="133" t="n">
        <v>648</v>
      </c>
      <c r="B228" s="134" t="n">
        <v>0.285</v>
      </c>
      <c r="C228" s="134" t="n">
        <v>178.1635</v>
      </c>
    </row>
    <row r="229" customFormat="false" ht="15" hidden="false" customHeight="false" outlineLevel="0" collapsed="false">
      <c r="A229" s="133" t="n">
        <v>721</v>
      </c>
      <c r="B229" s="134" t="n">
        <v>0.294</v>
      </c>
      <c r="C229" s="134" t="n">
        <v>184.6538</v>
      </c>
    </row>
    <row r="230" customFormat="false" ht="15" hidden="false" customHeight="false" outlineLevel="0" collapsed="false">
      <c r="A230" s="133" t="n">
        <v>865</v>
      </c>
      <c r="B230" s="134" t="n">
        <v>0.4277</v>
      </c>
      <c r="C230" s="134" t="n">
        <v>300.3558</v>
      </c>
    </row>
    <row r="231" customFormat="false" ht="15" hidden="false" customHeight="false" outlineLevel="0" collapsed="false">
      <c r="A231" s="133" t="n">
        <v>962</v>
      </c>
      <c r="B231" s="134" t="n">
        <v>0.3027</v>
      </c>
      <c r="C231" s="134" t="n">
        <v>180.0385</v>
      </c>
    </row>
    <row r="232" customFormat="false" ht="15" hidden="false" customHeight="false" outlineLevel="0" collapsed="false">
      <c r="A232" s="133" t="n">
        <v>1099</v>
      </c>
      <c r="B232" s="134" t="n">
        <v>0.3527</v>
      </c>
      <c r="C232" s="134" t="n">
        <v>235.0365</v>
      </c>
    </row>
    <row r="233" customFormat="false" ht="15" hidden="false" customHeight="false" outlineLevel="0" collapsed="false">
      <c r="A233" s="133" t="n">
        <v>1282</v>
      </c>
      <c r="B233" s="134" t="n">
        <v>0.35</v>
      </c>
      <c r="C233" s="134" t="n">
        <v>231.575</v>
      </c>
    </row>
    <row r="234" customFormat="false" ht="15" hidden="false" customHeight="false" outlineLevel="0" collapsed="false">
      <c r="A234" s="133" t="n">
        <v>1374</v>
      </c>
      <c r="B234" s="134" t="n">
        <v>0.31</v>
      </c>
      <c r="C234" s="134" t="n">
        <v>176.5769</v>
      </c>
    </row>
    <row r="235" customFormat="false" ht="15" hidden="false" customHeight="false" outlineLevel="0" collapsed="false">
      <c r="A235" s="133" t="n">
        <v>2596</v>
      </c>
      <c r="B235" s="134" t="n">
        <v>0.38</v>
      </c>
      <c r="C235" s="134" t="n">
        <v>358.3077</v>
      </c>
    </row>
    <row r="236" customFormat="false" ht="15" hidden="false" customHeight="false" outlineLevel="0" collapsed="false">
      <c r="A236" s="133" t="n">
        <v>3653</v>
      </c>
      <c r="B236" s="134" t="n">
        <v>0.46</v>
      </c>
      <c r="C236" s="134" t="n">
        <v>650.6154</v>
      </c>
    </row>
    <row r="238" customFormat="false" ht="15" hidden="false" customHeight="false" outlineLevel="0" collapsed="false">
      <c r="A238" s="130" t="s">
        <v>406</v>
      </c>
      <c r="B238" s="131" t="s">
        <v>407</v>
      </c>
    </row>
    <row r="239" customFormat="false" ht="15" hidden="false" customHeight="false" outlineLevel="0" collapsed="false">
      <c r="A239" s="132" t="s">
        <v>373</v>
      </c>
      <c r="B239" s="132" t="s">
        <v>332</v>
      </c>
      <c r="C239" s="132" t="s">
        <v>333</v>
      </c>
    </row>
    <row r="240" customFormat="false" ht="15" hidden="false" customHeight="false" outlineLevel="0" collapsed="false">
      <c r="A240" s="133" t="n">
        <v>0</v>
      </c>
      <c r="B240" s="134" t="n">
        <v>0</v>
      </c>
      <c r="C240" s="134" t="n">
        <v>0</v>
      </c>
    </row>
    <row r="241" customFormat="false" ht="15" hidden="false" customHeight="false" outlineLevel="0" collapsed="false">
      <c r="A241" s="133" t="n">
        <v>554</v>
      </c>
      <c r="B241" s="134" t="n">
        <v>0.16</v>
      </c>
      <c r="C241" s="134" t="n">
        <v>88.6538</v>
      </c>
    </row>
    <row r="242" customFormat="false" ht="15" hidden="false" customHeight="false" outlineLevel="0" collapsed="false">
      <c r="A242" s="133" t="n">
        <v>596</v>
      </c>
      <c r="B242" s="134" t="n">
        <v>0.285</v>
      </c>
      <c r="C242" s="134" t="n">
        <v>163.1587</v>
      </c>
    </row>
    <row r="243" customFormat="false" ht="15" hidden="false" customHeight="false" outlineLevel="0" collapsed="false">
      <c r="A243" s="133" t="n">
        <v>721</v>
      </c>
      <c r="B243" s="134" t="n">
        <v>0.294</v>
      </c>
      <c r="C243" s="134" t="n">
        <v>169.649</v>
      </c>
    </row>
    <row r="244" customFormat="false" ht="15" hidden="false" customHeight="false" outlineLevel="0" collapsed="false">
      <c r="A244" s="133" t="n">
        <v>790</v>
      </c>
      <c r="B244" s="134" t="n">
        <v>0.394</v>
      </c>
      <c r="C244" s="134" t="n">
        <v>248.6663</v>
      </c>
    </row>
    <row r="245" customFormat="false" ht="15" hidden="false" customHeight="false" outlineLevel="0" collapsed="false">
      <c r="A245" s="133" t="n">
        <v>842</v>
      </c>
      <c r="B245" s="134" t="n">
        <v>0.269</v>
      </c>
      <c r="C245" s="134" t="n">
        <v>143.3538</v>
      </c>
    </row>
    <row r="246" customFormat="false" ht="15" hidden="false" customHeight="false" outlineLevel="0" collapsed="false">
      <c r="A246" s="133" t="n">
        <v>865</v>
      </c>
      <c r="B246" s="134" t="n">
        <v>0.4027</v>
      </c>
      <c r="C246" s="134" t="n">
        <v>259.0558</v>
      </c>
    </row>
    <row r="247" customFormat="false" ht="15" hidden="false" customHeight="false" outlineLevel="0" collapsed="false">
      <c r="A247" s="133" t="n">
        <v>987</v>
      </c>
      <c r="B247" s="134" t="n">
        <v>0.3227</v>
      </c>
      <c r="C247" s="134" t="n">
        <v>180.0385</v>
      </c>
    </row>
    <row r="248" customFormat="false" ht="15" hidden="false" customHeight="false" outlineLevel="0" collapsed="false">
      <c r="A248" s="133" t="n">
        <v>1282</v>
      </c>
      <c r="B248" s="134" t="n">
        <v>0.32</v>
      </c>
      <c r="C248" s="134" t="n">
        <v>176.5769</v>
      </c>
    </row>
    <row r="249" customFormat="false" ht="15" hidden="false" customHeight="false" outlineLevel="0" collapsed="false">
      <c r="A249" s="133" t="n">
        <v>2596</v>
      </c>
      <c r="B249" s="134" t="n">
        <v>0.39</v>
      </c>
      <c r="C249" s="134" t="n">
        <v>358.3077</v>
      </c>
    </row>
    <row r="250" customFormat="false" ht="15" hidden="false" customHeight="false" outlineLevel="0" collapsed="false">
      <c r="A250" s="133" t="n">
        <v>3653</v>
      </c>
      <c r="B250" s="134" t="n">
        <v>0.47</v>
      </c>
      <c r="C250" s="134" t="n">
        <v>650.6154</v>
      </c>
    </row>
    <row r="252" customFormat="false" ht="15" hidden="false" customHeight="false" outlineLevel="0" collapsed="false">
      <c r="A252" s="130" t="s">
        <v>408</v>
      </c>
      <c r="B252" s="131" t="s">
        <v>409</v>
      </c>
    </row>
    <row r="253" customFormat="false" ht="15" hidden="false" customHeight="false" outlineLevel="0" collapsed="false">
      <c r="A253" s="132" t="s">
        <v>373</v>
      </c>
      <c r="B253" s="132" t="s">
        <v>332</v>
      </c>
      <c r="C253" s="132" t="s">
        <v>333</v>
      </c>
    </row>
    <row r="254" customFormat="false" ht="15" hidden="false" customHeight="false" outlineLevel="0" collapsed="false">
      <c r="A254" s="133" t="n">
        <v>0</v>
      </c>
      <c r="B254" s="134" t="n">
        <v>0</v>
      </c>
      <c r="C254" s="134" t="n">
        <v>0</v>
      </c>
    </row>
    <row r="255" customFormat="false" ht="15" hidden="false" customHeight="false" outlineLevel="0" collapsed="false">
      <c r="A255" s="133" t="n">
        <v>554</v>
      </c>
      <c r="B255" s="134" t="n">
        <v>0.16</v>
      </c>
      <c r="C255" s="134" t="n">
        <v>88.6538</v>
      </c>
    </row>
    <row r="256" customFormat="false" ht="15" hidden="false" customHeight="false" outlineLevel="0" collapsed="false">
      <c r="A256" s="133" t="n">
        <v>596</v>
      </c>
      <c r="B256" s="134" t="n">
        <v>0.285</v>
      </c>
      <c r="C256" s="134" t="n">
        <v>163.1587</v>
      </c>
    </row>
    <row r="257" customFormat="false" ht="15" hidden="false" customHeight="false" outlineLevel="0" collapsed="false">
      <c r="A257" s="133" t="n">
        <v>721</v>
      </c>
      <c r="B257" s="134" t="n">
        <v>0.294</v>
      </c>
      <c r="C257" s="134" t="n">
        <v>169.649</v>
      </c>
    </row>
    <row r="258" customFormat="false" ht="15" hidden="false" customHeight="false" outlineLevel="0" collapsed="false">
      <c r="A258" s="133" t="n">
        <v>842</v>
      </c>
      <c r="B258" s="134" t="n">
        <v>0.169</v>
      </c>
      <c r="C258" s="134" t="n">
        <v>64.3365</v>
      </c>
    </row>
    <row r="259" customFormat="false" ht="15" hidden="false" customHeight="false" outlineLevel="0" collapsed="false">
      <c r="A259" s="133" t="n">
        <v>865</v>
      </c>
      <c r="B259" s="134" t="n">
        <v>0.3027</v>
      </c>
      <c r="C259" s="134" t="n">
        <v>180.0385</v>
      </c>
    </row>
    <row r="260" customFormat="false" ht="15" hidden="false" customHeight="false" outlineLevel="0" collapsed="false">
      <c r="A260" s="133" t="n">
        <v>1282</v>
      </c>
      <c r="B260" s="134" t="n">
        <v>0.3</v>
      </c>
      <c r="C260" s="134" t="n">
        <v>176.5769</v>
      </c>
    </row>
    <row r="261" customFormat="false" ht="15" hidden="false" customHeight="false" outlineLevel="0" collapsed="false">
      <c r="A261" s="133" t="n">
        <v>2596</v>
      </c>
      <c r="B261" s="134" t="n">
        <v>0.37</v>
      </c>
      <c r="C261" s="134" t="n">
        <v>358.3077</v>
      </c>
    </row>
    <row r="262" customFormat="false" ht="15" hidden="false" customHeight="false" outlineLevel="0" collapsed="false">
      <c r="A262" s="133" t="n">
        <v>3653</v>
      </c>
      <c r="B262" s="134" t="n">
        <v>0.45</v>
      </c>
      <c r="C262" s="134" t="n">
        <v>650.6154</v>
      </c>
    </row>
    <row r="264" customFormat="false" ht="15" hidden="false" customHeight="false" outlineLevel="0" collapsed="false">
      <c r="A264" s="130" t="s">
        <v>410</v>
      </c>
      <c r="B264" s="131" t="s">
        <v>411</v>
      </c>
    </row>
    <row r="265" customFormat="false" ht="15" hidden="false" customHeight="false" outlineLevel="0" collapsed="false">
      <c r="A265" s="132" t="s">
        <v>373</v>
      </c>
      <c r="B265" s="132" t="s">
        <v>332</v>
      </c>
      <c r="C265" s="132" t="s">
        <v>333</v>
      </c>
    </row>
    <row r="266" customFormat="false" ht="15" hidden="false" customHeight="false" outlineLevel="0" collapsed="false">
      <c r="A266" s="133" t="n">
        <v>0</v>
      </c>
      <c r="B266" s="134" t="n">
        <v>0</v>
      </c>
      <c r="C266" s="134" t="n">
        <v>0</v>
      </c>
    </row>
    <row r="267" customFormat="false" ht="15" hidden="false" customHeight="false" outlineLevel="0" collapsed="false">
      <c r="A267" s="133" t="n">
        <v>554</v>
      </c>
      <c r="B267" s="134" t="n">
        <v>0.16</v>
      </c>
      <c r="C267" s="134" t="n">
        <v>88.6538</v>
      </c>
    </row>
    <row r="268" customFormat="false" ht="15" hidden="false" customHeight="false" outlineLevel="0" collapsed="false">
      <c r="A268" s="133" t="n">
        <v>596</v>
      </c>
      <c r="B268" s="134" t="n">
        <v>0.285</v>
      </c>
      <c r="C268" s="134" t="n">
        <v>163.1587</v>
      </c>
    </row>
    <row r="269" customFormat="false" ht="15" hidden="false" customHeight="false" outlineLevel="0" collapsed="false">
      <c r="A269" s="133" t="n">
        <v>721</v>
      </c>
      <c r="B269" s="134" t="n">
        <v>0.294</v>
      </c>
      <c r="C269" s="134" t="n">
        <v>169.649</v>
      </c>
    </row>
    <row r="270" customFormat="false" ht="15" hidden="false" customHeight="false" outlineLevel="0" collapsed="false">
      <c r="A270" s="133" t="n">
        <v>842</v>
      </c>
      <c r="B270" s="134" t="n">
        <v>0.169</v>
      </c>
      <c r="C270" s="134" t="n">
        <v>64.3365</v>
      </c>
    </row>
    <row r="271" customFormat="false" ht="15" hidden="false" customHeight="false" outlineLevel="0" collapsed="false">
      <c r="A271" s="133" t="n">
        <v>865</v>
      </c>
      <c r="B271" s="134" t="n">
        <v>0.3027</v>
      </c>
      <c r="C271" s="134" t="n">
        <v>180.0385</v>
      </c>
    </row>
    <row r="272" customFormat="false" ht="15" hidden="false" customHeight="false" outlineLevel="0" collapsed="false">
      <c r="A272" s="133" t="n">
        <v>1099</v>
      </c>
      <c r="B272" s="134" t="n">
        <v>0.3527</v>
      </c>
      <c r="C272" s="134" t="n">
        <v>235.0365</v>
      </c>
    </row>
    <row r="273" customFormat="false" ht="15" hidden="false" customHeight="false" outlineLevel="0" collapsed="false">
      <c r="A273" s="133" t="n">
        <v>1282</v>
      </c>
      <c r="B273" s="134" t="n">
        <v>0.35</v>
      </c>
      <c r="C273" s="134" t="n">
        <v>231.575</v>
      </c>
    </row>
    <row r="274" customFormat="false" ht="15" hidden="false" customHeight="false" outlineLevel="0" collapsed="false">
      <c r="A274" s="133" t="n">
        <v>1374</v>
      </c>
      <c r="B274" s="134" t="n">
        <v>0.31</v>
      </c>
      <c r="C274" s="134" t="n">
        <v>176.5769</v>
      </c>
    </row>
    <row r="275" customFormat="false" ht="15" hidden="false" customHeight="false" outlineLevel="0" collapsed="false">
      <c r="A275" s="133" t="n">
        <v>2596</v>
      </c>
      <c r="B275" s="134" t="n">
        <v>0.38</v>
      </c>
      <c r="C275" s="134" t="n">
        <v>358.3077</v>
      </c>
    </row>
    <row r="276" customFormat="false" ht="15" hidden="false" customHeight="false" outlineLevel="0" collapsed="false">
      <c r="A276" s="133" t="n">
        <v>3653</v>
      </c>
      <c r="B276" s="134" t="n">
        <v>0.46</v>
      </c>
      <c r="C276" s="134" t="n">
        <v>650.6154</v>
      </c>
    </row>
    <row r="278" customFormat="false" ht="15" hidden="false" customHeight="false" outlineLevel="0" collapsed="false">
      <c r="A278" s="130" t="s">
        <v>412</v>
      </c>
      <c r="B278" s="131" t="s">
        <v>413</v>
      </c>
    </row>
    <row r="279" customFormat="false" ht="15" hidden="false" customHeight="false" outlineLevel="0" collapsed="false">
      <c r="A279" s="132" t="s">
        <v>373</v>
      </c>
      <c r="B279" s="132" t="s">
        <v>332</v>
      </c>
      <c r="C279" s="132" t="s">
        <v>333</v>
      </c>
    </row>
    <row r="280" customFormat="false" ht="15" hidden="false" customHeight="false" outlineLevel="0" collapsed="false">
      <c r="A280" s="133" t="n">
        <v>0</v>
      </c>
      <c r="B280" s="134" t="n">
        <v>0</v>
      </c>
      <c r="C280" s="134" t="n">
        <v>0</v>
      </c>
    </row>
    <row r="281" customFormat="false" ht="15" hidden="false" customHeight="false" outlineLevel="0" collapsed="false">
      <c r="A281" s="133" t="n">
        <v>451</v>
      </c>
      <c r="B281" s="134" t="n">
        <v>0.128</v>
      </c>
      <c r="C281" s="134" t="n">
        <v>57.8462</v>
      </c>
    </row>
    <row r="282" customFormat="false" ht="15" hidden="false" customHeight="false" outlineLevel="0" collapsed="false">
      <c r="A282" s="133" t="n">
        <v>625</v>
      </c>
      <c r="B282" s="134" t="n">
        <v>0.208</v>
      </c>
      <c r="C282" s="134" t="n">
        <v>107.8462</v>
      </c>
    </row>
    <row r="283" customFormat="false" ht="15" hidden="false" customHeight="false" outlineLevel="0" collapsed="false">
      <c r="A283" s="133" t="n">
        <v>781</v>
      </c>
      <c r="B283" s="134" t="n">
        <v>0.144</v>
      </c>
      <c r="C283" s="134" t="n">
        <v>57.8462</v>
      </c>
    </row>
    <row r="284" customFormat="false" ht="15" hidden="false" customHeight="false" outlineLevel="0" collapsed="false">
      <c r="A284" s="133" t="n">
        <v>901</v>
      </c>
      <c r="B284" s="134" t="n">
        <v>0.1512</v>
      </c>
      <c r="C284" s="134" t="n">
        <v>64.3365</v>
      </c>
    </row>
    <row r="285" customFormat="false" ht="15" hidden="false" customHeight="false" outlineLevel="0" collapsed="false">
      <c r="A285" s="133" t="n">
        <v>1081</v>
      </c>
      <c r="B285" s="134" t="n">
        <v>0.2582</v>
      </c>
      <c r="C285" s="134" t="n">
        <v>180.0385</v>
      </c>
    </row>
    <row r="286" customFormat="false" ht="15" hidden="false" customHeight="false" outlineLevel="0" collapsed="false">
      <c r="A286" s="133" t="n">
        <v>1602</v>
      </c>
      <c r="B286" s="134" t="n">
        <v>0.256</v>
      </c>
      <c r="C286" s="134" t="n">
        <v>176.5769</v>
      </c>
    </row>
    <row r="287" customFormat="false" ht="15" hidden="false" customHeight="false" outlineLevel="0" collapsed="false">
      <c r="A287" s="133" t="n">
        <v>3245</v>
      </c>
      <c r="B287" s="134" t="n">
        <v>0.312</v>
      </c>
      <c r="C287" s="134" t="n">
        <v>358.3077</v>
      </c>
    </row>
    <row r="288" customFormat="false" ht="15" hidden="false" customHeight="false" outlineLevel="0" collapsed="false">
      <c r="A288" s="133" t="n">
        <v>4567</v>
      </c>
      <c r="B288" s="134" t="n">
        <v>0.376</v>
      </c>
      <c r="C288" s="134" t="n">
        <v>650.6154</v>
      </c>
    </row>
    <row r="290" customFormat="false" ht="15" hidden="false" customHeight="false" outlineLevel="0" collapsed="false">
      <c r="A290" s="130" t="s">
        <v>414</v>
      </c>
    </row>
    <row r="291" customFormat="false" ht="15" hidden="false" customHeight="false" outlineLevel="0" collapsed="false">
      <c r="A291" s="135" t="s">
        <v>415</v>
      </c>
      <c r="B291" s="136" t="n">
        <v>0.47</v>
      </c>
    </row>
    <row r="292" customFormat="false" ht="15" hidden="false" customHeight="false" outlineLevel="0" collapsed="false">
      <c r="A292" s="135" t="s">
        <v>416</v>
      </c>
      <c r="B292" s="136" t="n">
        <v>0.45</v>
      </c>
    </row>
    <row r="293" customFormat="false" ht="15" hidden="false" customHeight="false" outlineLevel="0" collapsed="false">
      <c r="A293" s="135" t="s">
        <v>417</v>
      </c>
      <c r="B293" s="136" t="n">
        <v>0.13</v>
      </c>
    </row>
    <row r="294" customFormat="false" ht="15" hidden="false" customHeight="false" outlineLevel="0" collapsed="false">
      <c r="A294" s="135" t="s">
        <v>418</v>
      </c>
      <c r="B294" s="136" t="n">
        <v>0.3</v>
      </c>
    </row>
    <row r="295" customFormat="false" ht="15" hidden="false" customHeight="false" outlineLevel="0" collapsed="false">
      <c r="A295" s="135" t="s">
        <v>419</v>
      </c>
      <c r="B295" s="136" t="n">
        <v>625</v>
      </c>
    </row>
    <row r="296" customFormat="false" ht="15" hidden="false" customHeight="false" outlineLevel="0" collapsed="false">
      <c r="A296" s="135" t="s">
        <v>420</v>
      </c>
      <c r="B296" s="136" t="n">
        <v>43846</v>
      </c>
    </row>
    <row r="297" customFormat="false" ht="15" hidden="false" customHeight="false" outlineLevel="0" collapsed="false">
      <c r="A297" s="135" t="s">
        <v>421</v>
      </c>
      <c r="B297" s="136" t="n">
        <v>52</v>
      </c>
    </row>
    <row r="298" customFormat="false" ht="15" hidden="false" customHeight="false" outlineLevel="0" collapsed="false">
      <c r="A298" s="135" t="s">
        <v>422</v>
      </c>
      <c r="B298" s="136" t="n">
        <v>4027</v>
      </c>
    </row>
    <row r="299" customFormat="false" ht="15" hidden="false" customHeight="false" outlineLevel="0" collapsed="false">
      <c r="A299" s="135" t="s">
        <v>423</v>
      </c>
      <c r="B299" s="136" t="n">
        <v>0.1</v>
      </c>
    </row>
    <row r="300" customFormat="false" ht="15" hidden="false" customHeight="false" outlineLevel="0" collapsed="false">
      <c r="A300" s="135" t="s">
        <v>424</v>
      </c>
      <c r="B300" s="136" t="n">
        <v>0.08</v>
      </c>
    </row>
    <row r="301" customFormat="false" ht="15" hidden="false" customHeight="false" outlineLevel="0" collapsed="false">
      <c r="A301" s="135" t="s">
        <v>425</v>
      </c>
      <c r="B301" s="136" t="n">
        <v>0.02</v>
      </c>
    </row>
    <row r="302" customFormat="false" ht="15" hidden="false" customHeight="false" outlineLevel="0" collapsed="false">
      <c r="A302" s="135" t="s">
        <v>426</v>
      </c>
      <c r="B302" s="136" t="n">
        <v>1053</v>
      </c>
    </row>
    <row r="303" customFormat="false" ht="15" hidden="false" customHeight="false" outlineLevel="0" collapsed="false">
      <c r="A303" s="135" t="s">
        <v>427</v>
      </c>
      <c r="B303" s="136" t="n">
        <v>43846</v>
      </c>
    </row>
    <row r="304" customFormat="false" ht="15" hidden="false" customHeight="false" outlineLevel="0" collapsed="false">
      <c r="A304" s="135" t="s">
        <v>428</v>
      </c>
      <c r="B304" s="136" t="n">
        <v>52</v>
      </c>
    </row>
    <row r="305" customFormat="false" ht="15" hidden="false" customHeight="false" outlineLevel="0" collapsed="false">
      <c r="A305" s="135" t="s">
        <v>429</v>
      </c>
      <c r="B305" s="136" t="n">
        <v>4027</v>
      </c>
    </row>
    <row r="306" customFormat="false" ht="15" hidden="false" customHeight="false" outlineLevel="0" collapsed="false">
      <c r="A306" s="135" t="s">
        <v>430</v>
      </c>
      <c r="B306" s="136" t="n">
        <v>0.05</v>
      </c>
    </row>
    <row r="307" customFormat="false" ht="15" hidden="false" customHeight="false" outlineLevel="0" collapsed="false">
      <c r="A307" s="135" t="s">
        <v>431</v>
      </c>
      <c r="B307" s="136" t="n">
        <v>0.04</v>
      </c>
    </row>
    <row r="308" customFormat="false" ht="15" hidden="false" customHeight="false" outlineLevel="0" collapsed="false">
      <c r="A308" s="135" t="s">
        <v>432</v>
      </c>
      <c r="B308" s="136" t="n">
        <v>0.01</v>
      </c>
    </row>
    <row r="310" customFormat="false" ht="15" hidden="false" customHeight="false" outlineLevel="0" collapsed="false">
      <c r="A310" s="99" t="s">
        <v>433</v>
      </c>
    </row>
  </sheetData>
  <sheetProtection sheet="true" password="ec70" formatCells="false" sort="false" autoFilter="false"/>
  <mergeCells count="5">
    <mergeCell ref="A1:H1"/>
    <mergeCell ref="A2:H2"/>
    <mergeCell ref="A4:H4"/>
    <mergeCell ref="A22:H22"/>
    <mergeCell ref="A43:H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2026-07-20T22:50:56Z</dcterms:created>
  <dc:creator>openpyxl</dc:creator>
  <dc:description/>
  <dc:language>en-US</dc:language>
  <cp:lastModifiedBy/>
  <dcterms:modified xsi:type="dcterms:W3CDTF">2026-07-21T13:06:35Z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