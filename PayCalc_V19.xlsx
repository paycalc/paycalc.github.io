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Code" vbProcedure="false">'Settings &amp; Rates'!$B$76</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QScaleNames" vbProcedure="false">'Settings &amp; Rates'!$A$70:$A$73</definedName>
    <definedName function="false" hidden="false" name="QScaleRates" vbProcedure="false">'Settings &amp; Rates'!$B$70:$C$73</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<sst xmlns="http://schemas.openxmlformats.org/spreadsheetml/2006/main" count="439" uniqueCount="439">
  <si>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</si>
  <si>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</si>
  <si>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</si>
  <si>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</si>
  <si>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</si>
  <si>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</si>
  <si>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</si>
  <si>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</si>
  <si>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</si>
  <si>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</si>
  <si>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</si>
  <si>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Auto follows your classification (L3/L4 → L5-1, L5 → L6-1)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</si>
  <si>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</si>
  <si>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</si>
  <si>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</si>
  <si>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</si>
  <si>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</si>
  <si>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</si>
  <si>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</si>
  <si>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</si>
  <si>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</si>
  <si>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</si>
  <si>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</si>
  <si>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</si>
  <si>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</si>
  <si>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</si>
  <si>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</si>
  <si>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</si>
  <si>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</si>
  <si>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pays base rate; which allowances keep paying depends on the leave type — the Pay Guide tab has the full breakdown</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</si>
  <si>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</si>
  <si>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</si>
  <si>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</si>
  <si>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</si>
  <si>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</si>
  <si>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</si>
  <si>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</si>
  <si>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</si>
  <si>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</si>
  <si>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</si>
  <si>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</si>
  <si>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</si>
  <si>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</si>
  <si>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</si>
  <si>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</si>
  <si>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</si>
  <si>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</si>
  <si>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</si>
  <si>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</si>
  <si>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</si>
  <si>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</si>
  <si>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</si>
  <si>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</si>
  <si>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</si>
  <si>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</si>
  <si>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</si>
  <si>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</si>
  <si>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</si>
  <si>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</si>
  <si>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</si>
  <si>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</si>
  <si>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</si>
  <si>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</si>
  <si>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</si>
  <si>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</si>
  <si>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</si>
  <si>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</si>
  <si>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</si>
  <si>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</si>
  <si>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</si>
  <si>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</si>
  <si>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</si>
  <si>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</si>
  <si>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</si>
  <si>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</si>
  <si>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</si>
  <si>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</si>
  <si>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</si>
  <si>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</si>
  <si>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</si>
  <si>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</si>
  <si>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</si>
  <si>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</si>
  <si>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</si>
  <si>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</si>
  <si>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</si>
  <si>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</si>
  <si>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</si>
  <si>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</si>
  <si>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</si>
  <si>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</si>
  <si>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</si>
  <si>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</si>
  <si>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</si>
  <si>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</si>
  <si>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</si>
  <si>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</si>
  <si>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 pre-tax leg</t>
  </si>
  <si>
    <t xml:space="preserve">Salary-packaging admin fee</t>
  </si>
  <si>
    <t xml:space="preserve">e.g. RemServ — the fee varies, take it off your payslip</t>
  </si>
  <si>
    <t xml:space="preserve">TAXABLE INCOME</t>
  </si>
  <si>
    <t xml:space="preserve">PAYG withholding</t>
  </si>
  <si>
    <t xml:space="preserve">Study-loan repayment (STSL)</t>
  </si>
  <si>
    <t xml:space="preserve">Member contribution rate</t>
  </si>
  <si>
    <t>Post-tax deduction 1</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</si>
  <si>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</si>
  <si>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</si>
  <si>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</si>
  <si>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</si>
  <si>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</si>
  <si>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</si>
  <si>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</si>
  <si>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</si>
  <si>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</si>
  <si>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</si>
  <si>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</si>
  <si>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</si>
  <si>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</si>
  <si>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</si>
  <si>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</si>
  <si>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</si>
  <si>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</si>
  <si>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</si>
  <si>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</si>
  <si>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</si>
  <si>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</si>
  <si>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</si>
  <si>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</si>
  <si>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</si>
  <si>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</si>
  <si>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</si>
  <si>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</si>
  <si>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</si>
  <si>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</si>
  <si>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</si>
  <si>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</si>
  <si>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</si>
  <si>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</si>
  <si>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</si>
  <si>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</si>
  <si>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</si>
  <si>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</si>
  <si>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</si>
  <si>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</si>
  <si>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</si>
  <si>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</si>
  <si>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</si>
  <si>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</si>
  <si>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</si>
  <si>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</si>
  <si>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</si>
  <si>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</si>
  <si>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</si>
  <si>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</si>
  <si>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</si>
  <si>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</si>
  <si>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</si>
  <si>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</si>
  <si>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</si>
  <si>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</si>
  <si>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</si>
  <si>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</si>
  <si>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</si>
  <si>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Worth $41.50 (OO3) · $42.80 (OO4/OO5) · $44.60 (OO6) a fortnight (EBA cl 4.2), once you have held the top paypoint of your level for 12 months. Casuals take longer: a calendar year AND 1,200 hours at the top paypoint (cl 4.1(c)). There is no separate setting for it — payroll folds it into your rate and stores the result as one classification, so pick L3-Q, L4-Q, L5-Q or L6-Q in the Classification box. Inside the rate it is pro-rated by the hours you work, picks up the casual 25% loading and counts toward the shift allowance, which is worth a little more than being paid flat.</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</si>
  <si>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</si>
  <si>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</si>
  <si>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</si>
  <si>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</si>
  <si>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</si>
  <si>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</si>
  <si>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</si>
  <si>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</si>
  <si>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</si>
  <si>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</si>
  <si>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</si>
  <si>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</si>
  <si>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</si>
  <si>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</si>
  <si>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</si>
  <si>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(Award cl 8.2(c), 8.3(d)); recall to duty pays a 2-hour minimum at overtime rates (cl 18.4). Ordinary overtime has no minimum — double time for the hours you actually work (cl 18.3).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</si>
  <si>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</si>
  <si>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</si>
  <si>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(20 days plus an extra week for continuous shift workers — Dir 11/24 Sch 1 cl 2.1; 25 days outright in the Northern/Western region).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</si>
  <si>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</si>
  <si>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You don’t get a separate leave loading, and you’re not missing out — the shift allowance keeps running through recreation and long service leave INSTEAD of one (EBA cl 2.9(5)), and at 26.96–27.46% it comes to more than a loading would. That’s what this workbook pays. A pay summary in July 2026 settled it: the element is named “Consolidated Allow 26.96% WrkRec”, with no separate loading line of any kind.</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</si>
  <si>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</si>
  <si>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</si>
  <si>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</si>
  <si>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</si>
  <si>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</si>
  <si>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</si>
  <si>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</si>
  <si>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</si>
  <si>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</si>
  <si>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</si>
  <si>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</si>
  <si>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</si>
  <si>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</si>
  <si>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(laundry included), paid leave and public holidays you work;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</si>
  <si>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</si>
  <si>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</si>
  <si>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</si>
  <si>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</si>
  <si>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</si>
  <si>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</si>
  <si>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</si>
  <si>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</si>
  <si>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</si>
  <si>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</si>
  <si>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</si>
  <si>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</si>
  <si>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</si>
  <si>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</si>
  <si>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</si>
  <si>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</si>
  <si>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</si>
  <si>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</si>
  <si>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</si>
  <si>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</si>
  <si>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</si>
  <si>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</si>
  <si>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</si>
  <si>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</si>
  <si>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</si>
  <si>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</si>
  <si>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</si>
  <si>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</si>
  <si>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</si>
  <si>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</si>
  <si>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</si>
  <si>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</si>
  <si>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</si>
  <si>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</si>
  <si>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</si>
  <si>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</si>
  <si>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</si>
  <si>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</si>
  <si>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</si>
  <si>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</si>
  <si>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</si>
  <si>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</si>
  <si>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</si>
  <si>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</si>
  <si>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</si>
  <si>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</si>
  <si>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</si>
  <si>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</si>
  <si>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</si>
  <si>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</si>
  <si>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</si>
  <si>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</si>
  <si>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</si>
  <si>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</si>
  <si>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</si>
  <si>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</si>
  <si>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</si>
  <si>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</si>
  <si>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</si>
  <si>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</si>
  <si>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</si>
  <si>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</si>
  <si>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</si>
  <si>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</si>
  <si>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</si>
  <si>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</si>
  <si>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</si>
  <si>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</si>
  <si>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</si>
  <si>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</si>
  <si>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</si>
  <si>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</si>
  <si>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Salary-packaging admin fee (typical)</t>
  </si>
  <si>
    <t xml:space="preserve">Only relevant if salary packaging through a provider (e.g.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</si>
  <si>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</si>
  <si>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</si>
  <si>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</si>
  <si>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</si>
  <si>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</si>
  <si>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</si>
  <si>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</si>
  <si>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</si>
  <si>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</si>
  <si>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</si>
  <si>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</si>
  <si>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</si>
  <si>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</si>
  <si>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</si>
  <si>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</si>
  <si>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 — passed; the agreement keeps operating until replaced.</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</si>
  <si>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</si>
  <si>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</si>
  <si>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</si>
  <si>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</si>
  <si>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</si>
  <si>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</si>
  <si>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</si>
  <si>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</si>
  <si>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</si>
  <si>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</si>
  <si>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</si>
  <si>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</si>
  <si>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</si>
  <si>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confirmed delayed, not certified</t>
  </si>
  <si>
    <t xml:space="preserve">Confirmed delayed (as at 05.08.2026): the department has not responded to the unions’ claims and industrial action is ongoing. 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</si>
  <si>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</si>
  <si>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</si>
  <si>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</si>
  <si>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</si>
  <si>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</si>
  <si>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</si>
  <si>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</si>
  <si>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</si>
  <si>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</si>
  <si>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</si>
  <si>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</si>
  <si>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</si>
  <si>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</si>
  <si>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</si>
  <si>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</si>
  <si>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</si>
  <si>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</si>
  <si>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</si>
  <si>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</si>
  <si>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</si>
  <si>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</si>
  <si>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</si>
  <si>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</si>
  <si>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</si>
  <si>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</si>
  <si>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</si>
  <si>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</si>
  <si>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</si>
  <si>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</si>
  <si>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</si>
  <si>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</si>
  <si>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</si>
  <si>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</si>
  <si>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</si>
  <si>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</si>
  <si>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</si>
  <si>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</si>
  <si>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</si>
  <si>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</si>
  <si>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</si>
  <si>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</si>
  <si>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</si>
  <si>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</si>
  <si>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</si>
  <si>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</si>
  <si>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</si>
  <si>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</si>
  <si>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</si>
  <si>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</si>
  <si>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</si>
  <si>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</si>
  <si>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</si>
  <si>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</si>
  <si>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</si>
  <si>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</si>
  <si>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</si>
  <si>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</si>
  <si>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</si>
  <si>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</si>
  <si>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</si>
  <si>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</si>
  <si>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</si>
  <si>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</si>
  <si>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</si>
  <si>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</si>
  <si>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</si>
  <si>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</si>
  <si>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</si>
  <si>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</si>
  <si>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</si>
  <si>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</si>
  <si>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</si>
  <si>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</si>
  <si>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</si>
  <si>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</si>
  <si>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</si>
  <si>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</si>
  <si>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</si>
  <si>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</si>
  <si>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</si>
  <si>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</si>
  <si>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</si>
  <si>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</si>
  <si>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</si>
  <si>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</si>
  <si>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</si>
  <si>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</si>
  <si>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</si>
  <si>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</si>
  <si>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</si>
  <si>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</si>
  <si>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</si>
  <si>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</si>
  <si>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</si>
  <si>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</si>
  <si>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</si>
  <si>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</si>
  <si>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</si>
  <si>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</si>
  <si>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</si>
  <si>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</si>
  <si>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</si>
  <si>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</si>
  <si>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</si>
  <si>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</si>
  <si>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</si>
  <si>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</si>
  <si>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</si>
  <si>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</si>
  <si>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</si>
  <si>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</si>
  <si>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</si>
  <si>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</si>
  <si>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</si>
  <si>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</si>
  <si>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</si>
  <si>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</si>
  <si>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</si>
  <si>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</si>
  <si>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</si>
  <si>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</si>
  <si>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</si>
  <si>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</si>
  <si>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</si>
  <si>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</si>
  <si>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</si>
  <si>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</si>
  <si>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</si>
  <si>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</si>
  <si>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</si>
  <si>
    <t xml:space="preserve">Qualification</t>
  </si>
  <si>
    <t xml:space="preserve">Now part of your classification. Payroll folds the EBA cl 4.2 allowance into the rate instead of paying it as its own line, so pick L3-Q, L4-Q, L5-Q or L6-Q in the Classification box above. There is no separate setting any more.</t>
  </si>
  <si>
    <t xml:space="preserve">Qualification (inside the rate)</t>
  </si>
  <si>
    <t xml:space="preserve">F · QUALIFIED PAYPOINTS — the "Q" classifications</t>
  </si>
  <si>
    <t xml:space="preserve">Q means qualified. Payroll adds the EBA cl 4.2 qualification allowance to the top paypoint of your level and stores the result as one classification (YDZO3Q, 4Q, 5Q), so these are chosen in the Classification box rather than set separately. The allowance is only ever payable at a level’s top paypoint, so these four cover everyone entitled to it. Each rate is built live from the award salary above plus the allowance in block C — change either and these follow. Only L3-Q has been seen on a payslip; the other three are the same arithmetic on their level’s top paypoint.</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</si>
</sst>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13</v>
      </c>
      <c r="C7" s="10" t="n">
        <f aca="false">IF(OR(HDCode="None",HDCode="Custom",HDCode=""),"",IFERROR(INDEX(PayScaleRates,MATCH(HDCode,PayScaleNames,0),IF($B$5="Casual",2,1)),""))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true" customHeight="false" outlineLevel="0" collapsed="false">
      <c r="A12" s="6" t="s">
        <v>434</v>
      </c>
      <c r="B12" s="7"/>
      <c r="C12" s="7"/>
      <c r="D12" s="8" t="s">
        <v>435</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$J$66-$J$67-$J$68-$J$69-$J$70-$J$71</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IF(AND(SUM($F$32:$I$32)&gt;0,OR(HDCode="None",AND(OR(HDCode="Custom",HDCode=""),N($D$7)=0))),TEXT(SUM($F$32:$I$32),"0.0")&amp;"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($B$32*BaseRate+LeavePay*LvShift)*$G$50+$F$32*HDRate*IF(OR(HDCode="None",AND(OR(HDCode="Custom",HDCode=""),N($D$7)=0)),$G$50,IF($B$9="None",0,IF($B$9="OO3-OO5 (26.96%)",Rate_ShiftLo,IF($B$9="OO6 (27.46%)",Rate_ShiftHi,IF(LEFT(HDCode,2)="L6",Rate_ShiftHi,Rate_ShiftLo)))))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436</v>
      </c>
      <c r="B55" s="50"/>
      <c r="C55" s="50"/>
      <c r="D55" s="50"/>
      <c r="E55" s="51"/>
      <c r="F55" s="51"/>
      <c r="G55" s="59" t="n">
        <f aca="false">0</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15" hidden="false" customHeight="false" outlineLevel="0" collapsed="false">
      <c r="A71" s="50" t="inlineStr">
        <is>
          <t>Post-tax deduction 2</t>
        </is>
      </c>
      <c r="B71" s="50"/>
      <c r="C71" s="50"/>
      <c r="D71" s="50"/>
      <c r="E71" s="62" t="n">
        <v>0</v>
      </c>
      <c r="F71" s="52" t="inlineStr">
        <is>
          <t>e.g. bank or credit-union deduction</t>
        </is>
      </c>
      <c r="G71" s="52"/>
      <c r="H71" s="52"/>
      <c r="I71" s="52"/>
      <c r="J71" s="53" t="n">
        <f aca="false">$E$71</f>
        <v>0</v>
      </c>
    </row>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$J$64+$J$65+$J$70+$J$71</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5">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A71:D71"/>
    <mergeCell ref="F70:I70"/>
    <mergeCell ref="F71:I71"/>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8">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"L3-1,L3-2,L3-3,L3-4,L3-Q,L4-1,L4-2,L4-3,L4-4,L4-Q,L5-1,L5-2,L5-3,L5-4,L5-Q,L6-1,L6-2,L6-3,L6-Q,Custom"</formula1>
      <formula2>0</formula2>
    </dataValidation>
    <dataValidation allowBlank="true" errorStyle="stop" operator="between" prompt="Auto follows your classification: L3/L4 act into L5-1, L5 into L6-1 (award cl 12.7). Pick a level or None to override. HD hours go in columns F-I of the timesheet." promptTitle="Higher duties" showDropDown="false" showErrorMessage="false" showInputMessage="true" sqref="B7" type="list">
      <formula1>"Auto,None,Custom,L5-1,L5-2,L5-3,L5-4,L6-1,L6-2,L6-3"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genuine tax-free reimbursement does not belong here — leave it out."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Pays base rate. Which allowances keep paying depends on the leave type — the Pay Guide tab has the full breakdown."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row r="68" customFormat="false" ht="15" hidden="false" customHeight="false" outlineLevel="0" collapsed="false">
      <c r="A68" s="90" t="s">
        <v>437</v>
      </c>
      <c r="B68" s="90"/>
      <c r="C68" s="90"/>
      <c r="D68" s="90"/>
      <c r="E68" s="90"/>
      <c r="F68" s="90"/>
    </row>
    <row r="69" customFormat="false" ht="15" hidden="false" customHeight="false" outlineLevel="0" collapsed="false">
      <c r="A69" s="93" t="s">
        <v>6</v>
      </c>
      <c r="B69" s="94" t="s">
        <v>215</v>
      </c>
      <c r="C69" s="94" t="s">
        <v>216</v>
      </c>
      <c r="D69" s="94" t="s">
        <v>217</v>
      </c>
    </row>
    <row r="70" customFormat="false" ht="15" hidden="false" customHeight="false" outlineLevel="0" collapsed="false">
      <c r="A70" s="95" t="inlineStr">
        <is>
          <t>L3-Q</t>
        </is>
      </c>
      <c r="B70" s="96">
        <f aca="false">(ROUND(D9,0)+$B$36)/76</f>
        <v>36.34868421052632</v>
      </c>
      <c r="C70" s="97">
        <f aca="false">B70*1.25</f>
        <v>45.4358552631579</v>
      </c>
      <c r="D70" s="98">
        <f aca="false">B70*76</f>
        <v>2762.5</v>
      </c>
    </row>
    <row r="71" customFormat="false" ht="15" hidden="false" customHeight="false" outlineLevel="0" collapsed="false">
      <c r="A71" s="95" t="inlineStr">
        <is>
          <t>L4-Q</t>
        </is>
      </c>
      <c r="B71" s="96">
        <f aca="false">(ROUND(D13,0)+$B$37)/76</f>
        <v>41.32631578947368</v>
      </c>
      <c r="C71" s="97">
        <f aca="false">B71*1.25</f>
        <v>51.65789473684211</v>
      </c>
      <c r="D71" s="98">
        <f aca="false">B71*76</f>
        <v>3140.8</v>
      </c>
    </row>
    <row r="72" customFormat="false" ht="15" hidden="false" customHeight="false" outlineLevel="0" collapsed="false">
      <c r="A72" s="95" t="inlineStr">
        <is>
          <t>L5-Q</t>
        </is>
      </c>
      <c r="B72" s="96">
        <f aca="false">(ROUND(D17,0)+$B$37)/76</f>
        <v>46.3921052631579</v>
      </c>
      <c r="C72" s="97">
        <f aca="false">B72*1.25</f>
        <v>57.99013157894737</v>
      </c>
      <c r="D72" s="98">
        <f aca="false">B72*76</f>
        <v>3525.8</v>
      </c>
    </row>
    <row r="73" customFormat="false" ht="15" hidden="false" customHeight="false" outlineLevel="0" collapsed="false">
      <c r="A73" s="95" t="inlineStr">
        <is>
          <t>L6-Q</t>
        </is>
      </c>
      <c r="B73" s="96">
        <f aca="false">(ROUND(D20,0)+$B$38)/76</f>
        <v>50.81052631578947</v>
      </c>
      <c r="C73" s="97">
        <f aca="false">B73*1.25</f>
        <v>63.51315789473684</v>
      </c>
      <c r="D73" s="98">
        <f aca="false">B73*76</f>
        <v>3861.6</v>
      </c>
    </row>
    <row r="74" customFormat="false" ht="15" hidden="false" customHeight="false" outlineLevel="0" collapsed="false">
      <c r="A74" s="99" t="s">
        <v>438</v>
      </c>
    </row>
    <row r="76" customFormat="false" ht="15" hidden="false" customHeight="false" outlineLevel="0" collapsed="false">
      <c r="A76" s="95" t="inlineStr">
        <is>
          <t>Effective higher-duties code — resolves the Auto option from the classification. The engine reads this cell, not B7 on Pay Calculator.</t>
        </is>
      </c>
      <c r="B76" t="str">
        <f aca="false">IF('Pay Calculator'!$B$7&lt;&gt;"Auto",'Pay Calculator'!$B$7,IF(OR(LEFT('Pay Calculator'!$B$6,2)="L3",LEFT('Pay Calculator'!$B$6,2)="L4"),"L5-1",IF(LEFT('Pay Calculator'!$B$6,2)="L5","L6-1","None")))</f>
        <v>L5-1</v>
      </c>
    </row>
  </sheetData>
  <sheetProtection sheet="true" password="ec70" formatCells="false" sort="false" autoFilter="false"/>
  <mergeCells count="21">
    <mergeCell ref="A1:F1"/>
    <mergeCell ref="A2:F2"/>
    <mergeCell ref="A4:D4"/>
    <mergeCell ref="A23:F23"/>
    <mergeCell ref="A34:F34"/>
    <mergeCell ref="A40:F40"/>
    <mergeCell ref="A68:F68"/>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Calculator'!$D$6),IFERROR(INDEX(QScaleRates,MATCH('Pay Calculator'!$B$6,QScaleNames,0),IF('Pay Calculator'!$B$5="Casual",2,1)),IFERROR(INDEX(PayScaleRates,MATCH('Pay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IF(HDCode="None",F5,IF(OR(HDCode="Custom",HDCode=""),IF(N('Pay Calculator'!$D$7)&gt;0,N('Pay Calculator'!$D$7),F5),IFERROR(INDEX(PayScaleRates,MATCH(HDCode,PayScaleNames,0),IF('Pay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