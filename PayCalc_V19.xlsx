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<sst xmlns="http://schemas.openxmlformats.org/spreadsheetml/2006/main" count="533" uniqueCount="434">
  <si>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</si>
  <si>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</si>
  <si>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</si>
  <si>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</si>
  <si>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</si>
  <si>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</si>
  <si>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</si>
  <si>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</si>
  <si>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</si>
  <si>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</si>
  <si>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</si>
  <si>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</si>
  <si>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</si>
  <si>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</si>
  <si>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</si>
  <si>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</si>
  <si>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OO6 = 27.46%, everything else (Custom included) = 26.96%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</si>
  <si>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</si>
  <si>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</si>
  <si>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</si>
  <si>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</si>
  <si>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</si>
  <si>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</si>
  <si>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</si>
  <si>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</si>
  <si>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</si>
  <si>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</si>
  <si>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</si>
  <si>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</si>
  <si>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</si>
  <si>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</si>
  <si>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</si>
  <si>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</si>
  <si>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</si>
  <si>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</si>
  <si>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</si>
  <si>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</si>
  <si>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</si>
  <si>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</si>
  <si>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</si>
  <si>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</si>
  <si>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</si>
  <si>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</si>
  <si>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</si>
  <si>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</si>
  <si>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</si>
  <si>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</si>
  <si>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</si>
  <si>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</si>
  <si>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</si>
  <si>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</si>
  <si>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</si>
  <si>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</si>
  <si>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</si>
  <si>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</si>
  <si>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</si>
  <si>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</si>
  <si>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</si>
  <si>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</si>
  <si>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</si>
  <si>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</si>
  <si>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</si>
  <si>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</si>
  <si>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</si>
  <si>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</si>
  <si>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</si>
  <si>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</si>
  <si>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</si>
  <si>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</si>
  <si>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</si>
  <si>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</si>
  <si>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</si>
  <si>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</si>
  <si>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</si>
  <si>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</si>
  <si>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</si>
  <si>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</si>
  <si>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</si>
  <si>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</si>
  <si>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</si>
  <si>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</si>
  <si>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</si>
  <si>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</si>
  <si>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</si>
  <si>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</si>
  <si>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</si>
  <si>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</si>
  <si>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</si>
  <si>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</si>
  <si>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</si>
  <si>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</si>
  <si>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</si>
  <si>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</si>
  <si>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</si>
  <si>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</si>
  <si>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</si>
  <si>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</si>
  <si>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</si>
  <si>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</si>
  <si>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</si>
  <si>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</si>
  <si>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</si>
  <si>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</si>
  <si>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</si>
  <si>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</si>
  <si>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</si>
  <si>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</si>
  <si>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</si>
  <si>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</si>
  <si>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</si>
  <si>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</si>
  <si>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</si>
  <si>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</si>
  <si>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</si>
  <si>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</si>
  <si>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</si>
  <si>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</si>
  <si>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</si>
  <si>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</si>
  <si>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</si>
  <si>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</si>
  <si>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</si>
  <si>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</si>
  <si>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</si>
  <si>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</si>
  <si>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</si>
  <si>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</si>
  <si>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</si>
  <si>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</si>
  <si>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</si>
  <si>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</si>
  <si>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</si>
  <si>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</si>
  <si>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</si>
  <si>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</si>
  <si>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</si>
  <si>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</si>
  <si>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</si>
  <si>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</si>
  <si>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</si>
  <si>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</si>
  <si>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</si>
  <si>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</si>
  <si>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</si>
  <si>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</si>
  <si>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</si>
  <si>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</si>
  <si>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</si>
  <si>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</si>
  <si>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</si>
  <si>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</si>
  <si>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</si>
  <si>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</si>
  <si>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</si>
  <si>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</si>
  <si>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</si>
  <si>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</si>
  <si>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near enough to 76 hours’ worth ($378.99), so the cap only bites once leave or higher-duties hours push you past 76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</si>
  <si>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</si>
  <si>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</si>
  <si>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</si>
  <si>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It is an expense allowance, so it moves with CPI rather than with the State Wage Case (cl 13.7(b)).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</si>
  <si>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</si>
  <si>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</si>
  <si>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</si>
  <si>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</si>
  <si>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</si>
  <si>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it does not belong anywhere in this workbook — leave it out entirely.</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</si>
  <si>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</si>
  <si>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</si>
  <si>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</si>
  <si>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</si>
  <si>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</si>
  <si>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</si>
  <si>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</si>
  <si>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</si>
  <si>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</si>
  <si>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</si>
  <si>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</si>
  <si>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</si>
  <si>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</si>
  <si>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</si>
  <si>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</si>
  <si>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</si>
  <si>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</si>
  <si>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</si>
  <si>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</si>
  <si>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</si>
  <si>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</si>
  <si>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</si>
  <si>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</si>
  <si>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</si>
  <si>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</si>
  <si>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</si>
  <si>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</si>
  <si>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&amp; gross-up</t>
  </si>
  <si>
    <t xml:space="preserve">Concessional super is taxed 15% inside the fund, so a straight 5% sacrifice only lands 4.25%. Grossing up means sending 5% ÷ 0.85 = 5.88% so the full 5% still lands — and because it left your pay before income tax, you still bank roughly $50/fn more than paying it after tax.</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</si>
  <si>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</si>
  <si>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</si>
  <si>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</si>
  <si>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</si>
  <si>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</si>
  <si>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</si>
  <si>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</si>
  <si>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</si>
  <si>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</si>
  <si>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</si>
  <si>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</si>
  <si>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</si>
  <si>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</si>
  <si>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</si>
  <si>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</si>
  <si>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</si>
  <si>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</si>
  <si>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</si>
  <si>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</si>
  <si>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</si>
  <si>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</si>
  <si>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</si>
  <si>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</si>
  <si>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</si>
  <si>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</si>
  <si>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</si>
  <si>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</si>
  <si>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</si>
  <si>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</si>
  <si>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</si>
  <si>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</si>
  <si>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</si>
  <si>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</si>
  <si>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</si>
  <si>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</si>
  <si>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</si>
  <si>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</si>
  <si>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</si>
  <si>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</si>
  <si>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</si>
  <si>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</si>
  <si>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</si>
  <si>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</si>
  <si>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</si>
  <si>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</si>
  <si>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</si>
  <si>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</si>
  <si>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</si>
  <si>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</si>
  <si>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</si>
  <si>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</si>
  <si>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</si>
  <si>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</si>
  <si>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</si>
  <si>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</si>
  <si>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 NOT IN THIS WORKBOOK: the $17.35 overtime meal allowance (Award cl 13.5) was added to the website calculator on 26.07.2026 but has no cell here — add it to the "other taxable earnings" line if you need it.</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</si>
  <si>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</si>
  <si>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</si>
  <si>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</si>
  <si>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</si>
  <si>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</si>
  <si>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</si>
  <si>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</si>
  <si>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</si>
  <si>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</si>
  <si>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</si>
  <si>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</si>
  <si>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 which is why sacrificing the standard 5% needs a gross-up to land the same amount.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</si>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</sst>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(27.46%)",Rate_ShiftHi,IF(LEFT($B$7,2)="L6",Rate_ShiftHi,Rate_ShiftLo))))</f>
        <v>733.584231296</v>
      </c>
    </row>
    <row r="51" customFormat="false" ht="15" hidden="false" customHeight="false" outlineLevel="0" collapsed="false">
      <c r="A51" s="50" t="s">
        <v>17</v>
      </c>
      <c r="B51" s="50"/>
      <c r="C51" s="50"/>
      <c r="D51" s="50"/>
      <c r="E51" s="51"/>
      <c r="F51" s="51"/>
      <c r="G51" s="57" t="n">
        <f aca="false">IF($B$5="Casual",0,IF($B$10="Full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grossed up so the full 5% still lands",TEXT($E$69/(1-ContribTax),"0.00%")&amp;" of base, pre-tax — lands the full "&amp;TEXT($E$69,"0%")&amp;" after the fund's 15% tax")</f>
        <v>Remserv can take your standard 5% pre-tax instead — grossed up so the full 5% still lands</v>
      </c>
      <c r="I62" s="8"/>
      <c r="J62" s="49" t="n">
        <f aca="false">IF($E$62="No — after-tax",0,$E$69*($J$43+$F$32*HDRate)/(1-ContribTax))</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