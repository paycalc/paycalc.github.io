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<sst xmlns="http://schemas.openxmlformats.org/spreadsheetml/2006/main" count="533" uniqueCount="434">
  <si>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</si>
  <si>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</si>
  <si>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</si>
  <si>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</si>
  <si>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</si>
  <si>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</si>
  <si>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</si>
  <si>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</si>
  <si>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</si>
  <si>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</si>
  <si>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</si>
  <si>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</si>
  <si>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</si>
  <si>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</si>
  <si>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</si>
  <si>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</si>
  <si>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(Custom or None =&gt; 27.46%)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</si>
  <si>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</si>
  <si>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</si>
  <si>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</si>
  <si>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</si>
  <si>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</si>
  <si>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</si>
  <si>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</si>
  <si>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</si>
  <si>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</si>
  <si>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</si>
  <si>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</si>
  <si>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</si>
  <si>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</si>
  <si>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</si>
  <si>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</si>
  <si>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</si>
  <si>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</si>
  <si>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</si>
  <si>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</si>
  <si>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</si>
  <si>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</si>
  <si>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</si>
  <si>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</si>
  <si>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</si>
  <si>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</si>
  <si>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</si>
  <si>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</si>
  <si>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</si>
  <si>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</si>
  <si>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</si>
  <si>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</si>
  <si>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</si>
  <si>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</si>
  <si>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</si>
  <si>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</si>
  <si>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</si>
  <si>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</si>
  <si>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</si>
  <si>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</si>
  <si>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</si>
  <si>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</si>
  <si>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</si>
  <si>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</si>
  <si>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</si>
  <si>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</si>
  <si>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</si>
  <si>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</si>
  <si>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</si>
  <si>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</si>
  <si>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</si>
  <si>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</si>
  <si>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</si>
  <si>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</si>
  <si>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</si>
  <si>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</si>
  <si>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</si>
  <si>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</si>
  <si>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</si>
  <si>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</si>
  <si>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</si>
  <si>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</si>
  <si>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</si>
  <si>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</si>
  <si>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</si>
  <si>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</si>
  <si>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</si>
  <si>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</si>
  <si>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</si>
  <si>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</si>
  <si>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</si>
  <si>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</si>
  <si>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</si>
  <si>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</si>
  <si>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</si>
  <si>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</si>
  <si>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</si>
  <si>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</si>
  <si>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</si>
  <si>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</si>
  <si>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</si>
  <si>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</si>
  <si>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</si>
  <si>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</si>
  <si>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</si>
  <si>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</si>
  <si>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</si>
  <si>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</si>
  <si>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</si>
  <si>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</si>
  <si>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</si>
  <si>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</si>
  <si>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</si>
  <si>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</si>
  <si>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</si>
  <si>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</si>
  <si>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</si>
  <si>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</si>
  <si>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</si>
  <si>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</si>
  <si>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</si>
  <si>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</si>
  <si>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</si>
  <si>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</si>
  <si>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</si>
  <si>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</si>
  <si>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</si>
  <si>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</si>
  <si>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</si>
  <si>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</si>
  <si>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</si>
  <si>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</si>
  <si>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</si>
  <si>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</si>
  <si>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</si>
  <si>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</si>
  <si>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</si>
  <si>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</si>
  <si>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</si>
  <si>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</si>
  <si>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</si>
  <si>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</si>
  <si>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</si>
  <si>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</si>
  <si>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</si>
  <si>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</si>
  <si>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</si>
  <si>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</si>
  <si>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</si>
  <si>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</si>
  <si>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</si>
  <si>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</si>
  <si>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</si>
  <si>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</si>
  <si>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</si>
  <si>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</si>
  <si>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</si>
  <si>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</si>
  <si>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</si>
  <si>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</si>
  <si>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</si>
  <si>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exactly 76 hours’ worth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</si>
  <si>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</si>
  <si>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(site practice), so on an overtime-heavy fortnight it’s worth checking with a delegate.</t>
  </si>
  <si>
    <t xml:space="preserve">Laundry</t>
  </si>
  <si>
    <t xml:space="preserve">$6.10/fn spread across ordinary hours (Award cl 13.6(b), CPI-adjusted each State Wage Case).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</si>
  <si>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</si>
  <si>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</si>
  <si>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</si>
  <si>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</si>
  <si>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</si>
  <si>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leave this blank and use the custom pre-tax deduction.</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</si>
  <si>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</si>
  <si>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</si>
  <si>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</si>
  <si>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</si>
  <si>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</si>
  <si>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</si>
  <si>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</si>
  <si>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</si>
  <si>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</si>
  <si>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sick and long-service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</si>
  <si>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</si>
  <si>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</si>
  <si>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</si>
  <si>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</si>
  <si>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</si>
  <si>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</si>
  <si>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</si>
  <si>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</si>
  <si>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</si>
  <si>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</si>
  <si>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</si>
  <si>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</si>
  <si>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 paid leave — the 25% loading is the trade (Award cl 8.3(e)). The leave boxes on the calculator only apply to permanent staff.</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</si>
  <si>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</si>
  <si>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</si>
  <si>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</si>
  <si>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</si>
  <si>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</si>
  <si>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</si>
  <si>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</si>
  <si>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</si>
  <si>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</si>
  <si>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</si>
  <si>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</si>
  <si>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</si>
  <si>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</si>
  <si>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</si>
  <si>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</si>
  <si>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</si>
  <si>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</si>
  <si>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</si>
  <si>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</si>
  <si>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</si>
  <si>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</si>
  <si>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</si>
  <si>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</si>
  <si>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</si>
  <si>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</si>
  <si>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</si>
  <si>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</si>
  <si>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</si>
  <si>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</si>
  <si>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</si>
  <si>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</si>
  <si>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</si>
  <si>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</si>
  <si>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</si>
  <si>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</si>
  <si>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</si>
  <si>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</si>
  <si>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</si>
  <si>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</si>
  <si>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</si>
  <si>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</si>
  <si>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</si>
  <si>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</si>
  <si>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</si>
  <si>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</si>
  <si>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</si>
  <si>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</si>
  <si>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</si>
  <si>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</si>
  <si>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</si>
  <si>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</si>
  <si>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</si>
  <si>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</si>
  <si>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</si>
  <si>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</si>
  <si>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</si>
  <si>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</si>
  <si>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</si>
  <si>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(site practice).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</si>
  <si>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</si>
  <si>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</si>
  <si>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</si>
  <si>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</si>
  <si>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</si>
  <si>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</si>
  <si>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</si>
  <si>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</si>
  <si>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</si>
  <si>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</si>
  <si>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</si>
  <si>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</si>
  <si>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so is laundry (an expense reimbursement, not OTE).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</si>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</sst>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tru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35.80276</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41.79487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(27.46%)",Rate_ShiftHi,IF(LEFT($B$7,2)="L5",Rate_ShiftLo,Rate_ShiftHi))))</f>
        <v>733.584231296</v>
      </c>
    </row>
    <row r="51" customFormat="false" ht="15" hidden="false" customHeight="false" outlineLevel="0" collapsed="false">
      <c r="A51" s="50" t="s">
        <v>17</v>
      </c>
      <c r="B51" s="50"/>
      <c r="C51" s="50"/>
      <c r="D51" s="50"/>
      <c r="E51" s="51"/>
      <c r="F51" s="51"/>
      <c r="G51" s="57" t="n">
        <f aca="false">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EmpSuperRate*($J$43+$J$48+$F$32*HDRate+$J$57-$J$54-CustomAllow)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33.70553</v>
      </c>
      <c r="C6" s="97" t="n">
        <f aca="false">B6*1.25</f>
        <v>42.1319125</v>
      </c>
      <c r="D6" s="98" t="n">
        <f aca="false">B6*76</f>
        <v>2561.62028</v>
      </c>
    </row>
    <row r="7" customFormat="false" ht="15" hidden="false" customHeight="false" outlineLevel="0" collapsed="false">
      <c r="A7" s="95" t="s">
        <v>219</v>
      </c>
      <c r="B7" s="96" t="n">
        <v>34.35921</v>
      </c>
      <c r="C7" s="97" t="n">
        <f aca="false">B7*1.25</f>
        <v>42.9490125</v>
      </c>
      <c r="D7" s="98" t="n">
        <f aca="false">B7*76</f>
        <v>2611.29996</v>
      </c>
    </row>
    <row r="8" customFormat="false" ht="15" hidden="false" customHeight="false" outlineLevel="0" collapsed="false">
      <c r="A8" s="95" t="s">
        <v>220</v>
      </c>
      <c r="B8" s="96" t="n">
        <v>35.08105</v>
      </c>
      <c r="C8" s="97" t="n">
        <f aca="false">B8*1.25</f>
        <v>43.8513125</v>
      </c>
      <c r="D8" s="98" t="n">
        <f aca="false">B8*76</f>
        <v>2666.1598</v>
      </c>
    </row>
    <row r="9" customFormat="false" ht="15" hidden="false" customHeight="false" outlineLevel="0" collapsed="false">
      <c r="A9" s="95" t="s">
        <v>7</v>
      </c>
      <c r="B9" s="96" t="n">
        <v>35.80276</v>
      </c>
      <c r="C9" s="97" t="n">
        <f aca="false">B9*1.25</f>
        <v>44.75345</v>
      </c>
      <c r="D9" s="98" t="n">
        <f aca="false">B9*76</f>
        <v>2721.00976</v>
      </c>
    </row>
    <row r="10" customFormat="false" ht="15" hidden="false" customHeight="false" outlineLevel="0" collapsed="false">
      <c r="A10" s="95" t="s">
        <v>221</v>
      </c>
      <c r="B10" s="96" t="n">
        <v>37.24632</v>
      </c>
      <c r="C10" s="97" t="n">
        <f aca="false">B10*1.25</f>
        <v>46.5579</v>
      </c>
      <c r="D10" s="98" t="n">
        <f aca="false">B10*76</f>
        <v>2830.72032</v>
      </c>
    </row>
    <row r="11" customFormat="false" ht="15" hidden="false" customHeight="false" outlineLevel="0" collapsed="false">
      <c r="A11" s="95" t="s">
        <v>222</v>
      </c>
      <c r="B11" s="96" t="n">
        <v>38.4175</v>
      </c>
      <c r="C11" s="97" t="n">
        <f aca="false">B11*1.25</f>
        <v>48.021875</v>
      </c>
      <c r="D11" s="98" t="n">
        <f aca="false">B11*76</f>
        <v>2919.73</v>
      </c>
    </row>
    <row r="12" customFormat="false" ht="15" hidden="false" customHeight="false" outlineLevel="0" collapsed="false">
      <c r="A12" s="95" t="s">
        <v>223</v>
      </c>
      <c r="B12" s="96" t="n">
        <v>39.61592</v>
      </c>
      <c r="C12" s="97" t="n">
        <f aca="false">B12*1.25</f>
        <v>49.5199</v>
      </c>
      <c r="D12" s="98" t="n">
        <f aca="false">B12*76</f>
        <v>3010.80992</v>
      </c>
    </row>
    <row r="13" customFormat="false" ht="15" hidden="false" customHeight="false" outlineLevel="0" collapsed="false">
      <c r="A13" s="95" t="s">
        <v>224</v>
      </c>
      <c r="B13" s="96" t="n">
        <v>40.75987</v>
      </c>
      <c r="C13" s="97" t="n">
        <f aca="false">B13*1.25</f>
        <v>50.9498375</v>
      </c>
      <c r="D13" s="98" t="n">
        <f aca="false">B13*76</f>
        <v>3097.75012</v>
      </c>
    </row>
    <row r="14" customFormat="false" ht="15" hidden="false" customHeight="false" outlineLevel="0" collapsed="false">
      <c r="A14" s="95" t="s">
        <v>10</v>
      </c>
      <c r="B14" s="96" t="n">
        <v>41.79487</v>
      </c>
      <c r="C14" s="97" t="n">
        <f aca="false">B14*1.25</f>
        <v>52.2435875</v>
      </c>
      <c r="D14" s="98" t="n">
        <f aca="false">B14*76</f>
        <v>3176.41012</v>
      </c>
    </row>
    <row r="15" customFormat="false" ht="15" hidden="false" customHeight="false" outlineLevel="0" collapsed="false">
      <c r="A15" s="95" t="s">
        <v>225</v>
      </c>
      <c r="B15" s="96" t="n">
        <v>43.10224</v>
      </c>
      <c r="C15" s="97" t="n">
        <f aca="false">B15*1.25</f>
        <v>53.8778</v>
      </c>
      <c r="D15" s="98" t="n">
        <f aca="false">B15*76</f>
        <v>3275.77024</v>
      </c>
    </row>
    <row r="16" customFormat="false" ht="15" hidden="false" customHeight="false" outlineLevel="0" collapsed="false">
      <c r="A16" s="95" t="s">
        <v>226</v>
      </c>
      <c r="B16" s="96" t="n">
        <v>44.49132</v>
      </c>
      <c r="C16" s="97" t="n">
        <f aca="false">B16*1.25</f>
        <v>55.61415</v>
      </c>
      <c r="D16" s="98" t="n">
        <f aca="false">B16*76</f>
        <v>3381.34032</v>
      </c>
    </row>
    <row r="17" customFormat="false" ht="15" hidden="false" customHeight="false" outlineLevel="0" collapsed="false">
      <c r="A17" s="95" t="s">
        <v>227</v>
      </c>
      <c r="B17" s="96" t="n">
        <v>45.82592</v>
      </c>
      <c r="C17" s="97" t="n">
        <f aca="false">B17*1.25</f>
        <v>57.2824</v>
      </c>
      <c r="D17" s="98" t="n">
        <f aca="false">B17*76</f>
        <v>3482.76992</v>
      </c>
    </row>
    <row r="18" customFormat="false" ht="15" hidden="false" customHeight="false" outlineLevel="0" collapsed="false">
      <c r="A18" s="95" t="s">
        <v>228</v>
      </c>
      <c r="B18" s="96" t="n">
        <v>47.75974</v>
      </c>
      <c r="C18" s="97" t="n">
        <f aca="false">B18*1.25</f>
        <v>59.699675</v>
      </c>
      <c r="D18" s="98" t="n">
        <f aca="false">B18*76</f>
        <v>3629.74024</v>
      </c>
    </row>
    <row r="19" customFormat="false" ht="15" hidden="false" customHeight="false" outlineLevel="0" collapsed="false">
      <c r="A19" s="95" t="s">
        <v>229</v>
      </c>
      <c r="B19" s="96" t="n">
        <v>49.02632</v>
      </c>
      <c r="C19" s="97" t="n">
        <f aca="false">B19*1.25</f>
        <v>61.2829</v>
      </c>
      <c r="D19" s="98" t="n">
        <f aca="false">B19*76</f>
        <v>3726.00032</v>
      </c>
    </row>
    <row r="20" customFormat="false" ht="15" hidden="false" customHeight="false" outlineLevel="0" collapsed="false">
      <c r="A20" s="95" t="s">
        <v>230</v>
      </c>
      <c r="B20" s="96" t="n">
        <v>50.22474</v>
      </c>
      <c r="C20" s="97" t="n">
        <f aca="false">B20*1.25</f>
        <v>62.780925</v>
      </c>
      <c r="D20" s="98" t="n">
        <f aca="false">B20*76</f>
        <v>3817.08024</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35.80276</v>
      </c>
      <c r="H5" s="111" t="s">
        <v>323</v>
      </c>
      <c r="I5" s="113" t="n">
        <f aca="false">IF('Pay Calculator'!$C$14="No leave",0,N('Pay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41.79487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